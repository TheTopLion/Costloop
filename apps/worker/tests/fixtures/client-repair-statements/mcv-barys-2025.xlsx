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codeName="ЭтаКнига" defaultThemeVersion="124226"/>
  <bookViews>
    <workbookView xWindow="0" yWindow="120" windowWidth="23040" windowHeight="9330"/>
  </bookViews>
  <sheets>
    <sheet name="БАРЫС" sheetId="2" r:id="rId1"/>
  </sheets>
  <definedNames>
    <definedName name="_xlnm.Print_Area" localSheetId="0">БАРЫС!$A$1:$H$302</definedName>
  </definedNames>
  <calcPr calcId="144525"/>
</workbook>
</file>

<file path=xl/calcChain.xml><?xml version="1.0" encoding="utf-8"?>
<calcChain xmlns="http://schemas.openxmlformats.org/spreadsheetml/2006/main">
  <c r="J273" i="2" l="1"/>
  <c r="J272" i="2"/>
  <c r="G168" i="2"/>
  <c r="F168" i="2"/>
  <c r="F130" i="2"/>
  <c r="F129" i="2"/>
  <c r="G129" i="2" s="1"/>
  <c r="F128" i="2"/>
  <c r="G128" i="2" s="1"/>
  <c r="F127" i="2"/>
  <c r="G127" i="2" s="1"/>
  <c r="F126" i="2"/>
  <c r="G126" i="2" s="1"/>
  <c r="F124" i="2"/>
  <c r="G124" i="2" s="1"/>
  <c r="F123" i="2"/>
  <c r="G123" i="2" s="1"/>
  <c r="F122" i="2"/>
  <c r="G122" i="2" s="1"/>
  <c r="F120" i="2"/>
  <c r="G120" i="2" s="1"/>
  <c r="J143" i="2" l="1"/>
  <c r="F143" i="2"/>
  <c r="G143" i="2" s="1"/>
  <c r="J50" i="2"/>
  <c r="J49" i="2"/>
  <c r="J47" i="2"/>
  <c r="F269" i="2"/>
  <c r="G269" i="2" s="1"/>
  <c r="G268" i="2"/>
  <c r="F268" i="2"/>
  <c r="J268" i="2"/>
  <c r="J261" i="2"/>
  <c r="J260" i="2"/>
  <c r="J257" i="2"/>
  <c r="J256" i="2"/>
  <c r="J255" i="2"/>
  <c r="J254" i="2"/>
  <c r="J251" i="2"/>
  <c r="J250" i="2"/>
  <c r="J248" i="2"/>
  <c r="J239" i="2"/>
  <c r="J168" i="2"/>
  <c r="J166" i="2"/>
  <c r="J163" i="2"/>
  <c r="J162" i="2"/>
  <c r="J156" i="2"/>
  <c r="J155" i="2"/>
  <c r="J154" i="2"/>
  <c r="J153" i="2"/>
  <c r="J152" i="2"/>
  <c r="J151" i="2"/>
  <c r="J150" i="2"/>
  <c r="J148" i="2"/>
  <c r="J147" i="2"/>
  <c r="J146" i="2"/>
  <c r="J145" i="2"/>
  <c r="J144" i="2"/>
  <c r="J66" i="2"/>
  <c r="J65" i="2"/>
  <c r="J64" i="2"/>
  <c r="J63" i="2"/>
  <c r="J62" i="2"/>
  <c r="J61" i="2"/>
  <c r="J60" i="2"/>
  <c r="J56" i="2"/>
  <c r="J53" i="2"/>
  <c r="J25" i="2"/>
  <c r="J24" i="2"/>
  <c r="J23" i="2"/>
  <c r="J21" i="2"/>
  <c r="J18" i="2"/>
  <c r="J17" i="2"/>
  <c r="J15" i="2"/>
  <c r="J14" i="2"/>
  <c r="J13" i="2"/>
  <c r="J12" i="2"/>
  <c r="J10" i="2"/>
  <c r="J9" i="2"/>
  <c r="J8" i="2"/>
  <c r="F295" i="2"/>
  <c r="G295" i="2" s="1"/>
  <c r="F294" i="2"/>
  <c r="G294" i="2" s="1"/>
  <c r="F293" i="2"/>
  <c r="G293" i="2" s="1"/>
  <c r="F292" i="2"/>
  <c r="G292" i="2" s="1"/>
  <c r="G291" i="2"/>
  <c r="F291" i="2"/>
  <c r="G289" i="2"/>
  <c r="F289" i="2"/>
  <c r="G288" i="2"/>
  <c r="F288" i="2"/>
  <c r="F285" i="2"/>
  <c r="G285" i="2" s="1"/>
  <c r="F284" i="2"/>
  <c r="G284" i="2" s="1"/>
  <c r="F282" i="2"/>
  <c r="G282" i="2" s="1"/>
  <c r="F281" i="2"/>
  <c r="G281" i="2" s="1"/>
  <c r="F277" i="2"/>
  <c r="G277" i="2" s="1"/>
  <c r="F276" i="2"/>
  <c r="G276" i="2" s="1"/>
  <c r="F273" i="2"/>
  <c r="G273" i="2" s="1"/>
  <c r="F272" i="2"/>
  <c r="G272" i="2" s="1"/>
  <c r="F265" i="2"/>
  <c r="G265" i="2" s="1"/>
  <c r="F264" i="2"/>
  <c r="G264" i="2" s="1"/>
  <c r="F261" i="2"/>
  <c r="G261" i="2" s="1"/>
  <c r="F260" i="2"/>
  <c r="G260" i="2" s="1"/>
  <c r="F255" i="2"/>
  <c r="G255" i="2" s="1"/>
  <c r="G254" i="2"/>
  <c r="F254" i="2"/>
  <c r="F257" i="2"/>
  <c r="G257" i="2" s="1"/>
  <c r="F256" i="2"/>
  <c r="G256" i="2" s="1"/>
  <c r="G251" i="2"/>
  <c r="F251" i="2"/>
  <c r="F250" i="2"/>
  <c r="G250" i="2" s="1"/>
  <c r="G248" i="2"/>
  <c r="F248" i="2"/>
  <c r="F247" i="2"/>
  <c r="G247" i="2" s="1"/>
  <c r="J247" i="2" s="1"/>
  <c r="F239" i="2"/>
  <c r="G239" i="2" s="1"/>
  <c r="F235" i="2"/>
  <c r="G235" i="2" s="1"/>
  <c r="F234" i="2"/>
  <c r="G234" i="2" s="1"/>
  <c r="F233" i="2"/>
  <c r="G233" i="2" s="1"/>
  <c r="F232" i="2"/>
  <c r="G232" i="2" s="1"/>
  <c r="J170" i="2"/>
  <c r="F166" i="2"/>
  <c r="G166" i="2" s="1"/>
  <c r="F163" i="2"/>
  <c r="G163" i="2" s="1"/>
  <c r="F162" i="2"/>
  <c r="G162" i="2" s="1"/>
  <c r="F156" i="2"/>
  <c r="G156" i="2" s="1"/>
  <c r="F155" i="2"/>
  <c r="G155" i="2" s="1"/>
  <c r="F154" i="2"/>
  <c r="G154" i="2" s="1"/>
  <c r="F153" i="2"/>
  <c r="G153" i="2" s="1"/>
  <c r="F152" i="2"/>
  <c r="G152" i="2" s="1"/>
  <c r="F151" i="2"/>
  <c r="G151" i="2" s="1"/>
  <c r="F150" i="2"/>
  <c r="G150" i="2" s="1"/>
  <c r="F149" i="2"/>
  <c r="G149" i="2" s="1"/>
  <c r="F148" i="2"/>
  <c r="G148" i="2" s="1"/>
  <c r="F147" i="2"/>
  <c r="G147" i="2" s="1"/>
  <c r="F146" i="2"/>
  <c r="G146" i="2" s="1"/>
  <c r="F145" i="2"/>
  <c r="G145" i="2" s="1"/>
  <c r="F144" i="2"/>
  <c r="G144" i="2" s="1"/>
  <c r="F138" i="2"/>
  <c r="G138" i="2" s="1"/>
  <c r="F133" i="2"/>
  <c r="G133" i="2" s="1"/>
  <c r="F117" i="2"/>
  <c r="G117" i="2" s="1"/>
  <c r="F114" i="2"/>
  <c r="G114" i="2" s="1"/>
  <c r="F113" i="2"/>
  <c r="G113" i="2" s="1"/>
  <c r="F112" i="2"/>
  <c r="G112" i="2" s="1"/>
  <c r="F111" i="2"/>
  <c r="G111" i="2" s="1"/>
  <c r="J269" i="2" l="1"/>
  <c r="G107" i="2" l="1"/>
  <c r="F107" i="2"/>
  <c r="G106" i="2"/>
  <c r="F106" i="2"/>
  <c r="F105" i="2"/>
  <c r="G105" i="2" s="1"/>
  <c r="F104" i="2"/>
  <c r="G104" i="2" s="1"/>
  <c r="G103" i="2"/>
  <c r="F103" i="2"/>
  <c r="G102" i="2"/>
  <c r="F102" i="2"/>
  <c r="F101" i="2"/>
  <c r="G101" i="2" s="1"/>
  <c r="F100" i="2"/>
  <c r="G100" i="2" s="1"/>
  <c r="G99" i="2"/>
  <c r="F99" i="2"/>
  <c r="G98" i="2"/>
  <c r="F98" i="2"/>
  <c r="F97" i="2"/>
  <c r="G97" i="2" s="1"/>
  <c r="F96" i="2"/>
  <c r="G96" i="2" s="1"/>
  <c r="G95" i="2"/>
  <c r="F95" i="2"/>
  <c r="G94" i="2"/>
  <c r="F94" i="2"/>
  <c r="F93" i="2"/>
  <c r="G93" i="2" s="1"/>
  <c r="F92" i="2"/>
  <c r="G92" i="2" s="1"/>
  <c r="G91" i="2"/>
  <c r="F91" i="2"/>
  <c r="G90" i="2"/>
  <c r="F90" i="2"/>
  <c r="F89" i="2"/>
  <c r="G89" i="2" s="1"/>
  <c r="F88" i="2"/>
  <c r="G88" i="2" s="1"/>
  <c r="G87" i="2"/>
  <c r="F87" i="2"/>
  <c r="G86" i="2"/>
  <c r="F86" i="2"/>
  <c r="F85" i="2"/>
  <c r="G85" i="2" s="1"/>
  <c r="F84" i="2"/>
  <c r="G84" i="2" s="1"/>
  <c r="G83" i="2"/>
  <c r="F83" i="2"/>
  <c r="G82" i="2"/>
  <c r="F82" i="2"/>
  <c r="F81" i="2"/>
  <c r="G81" i="2" s="1"/>
  <c r="F80" i="2"/>
  <c r="G80" i="2" s="1"/>
  <c r="G79" i="2"/>
  <c r="F79" i="2"/>
  <c r="G78" i="2"/>
  <c r="F78" i="2"/>
  <c r="F77" i="2"/>
  <c r="G77" i="2" s="1"/>
  <c r="F76" i="2"/>
  <c r="G76" i="2" s="1"/>
  <c r="G75" i="2"/>
  <c r="F75" i="2"/>
  <c r="G74" i="2"/>
  <c r="F74" i="2"/>
  <c r="F73" i="2"/>
  <c r="G73" i="2" s="1"/>
  <c r="F72" i="2"/>
  <c r="G72" i="2" s="1"/>
  <c r="G71" i="2"/>
  <c r="F71" i="2"/>
  <c r="G70" i="2"/>
  <c r="F70" i="2"/>
  <c r="F69" i="2"/>
  <c r="G69" i="2" s="1"/>
  <c r="F66" i="2"/>
  <c r="G66" i="2" s="1"/>
  <c r="F65" i="2"/>
  <c r="G65" i="2" s="1"/>
  <c r="F64" i="2"/>
  <c r="G64" i="2" s="1"/>
  <c r="F63" i="2"/>
  <c r="G63" i="2" s="1"/>
  <c r="F62" i="2"/>
  <c r="G62" i="2" s="1"/>
  <c r="F61" i="2"/>
  <c r="G61" i="2" s="1"/>
  <c r="F60" i="2"/>
  <c r="G60" i="2" s="1"/>
  <c r="F56" i="2"/>
  <c r="G56" i="2" s="1"/>
  <c r="F55" i="2"/>
  <c r="G55" i="2" s="1"/>
  <c r="J55" i="2" s="1"/>
  <c r="F54" i="2"/>
  <c r="G54" i="2" s="1"/>
  <c r="J54" i="2" s="1"/>
  <c r="F53" i="2"/>
  <c r="G53" i="2" s="1"/>
  <c r="F50" i="2"/>
  <c r="G50" i="2" s="1"/>
  <c r="F49" i="2"/>
  <c r="G49" i="2" s="1"/>
  <c r="F48" i="2"/>
  <c r="G48" i="2" s="1"/>
  <c r="J48" i="2" s="1"/>
  <c r="F47" i="2"/>
  <c r="G47" i="2" s="1"/>
  <c r="F46" i="2"/>
  <c r="G46" i="2" s="1"/>
  <c r="J46" i="2" s="1"/>
  <c r="F39" i="2"/>
  <c r="G39" i="2" s="1"/>
  <c r="F34" i="2"/>
  <c r="G34" i="2" s="1"/>
  <c r="F29" i="2"/>
  <c r="G29" i="2" s="1"/>
  <c r="J29" i="2" s="1"/>
  <c r="F26" i="2"/>
  <c r="G26" i="2" s="1"/>
  <c r="F25" i="2"/>
  <c r="G25" i="2" s="1"/>
  <c r="F24" i="2"/>
  <c r="G24" i="2" s="1"/>
  <c r="F23" i="2"/>
  <c r="G23" i="2" s="1"/>
  <c r="F22" i="2"/>
  <c r="G22" i="2" s="1"/>
  <c r="J22" i="2" s="1"/>
  <c r="F21" i="2"/>
  <c r="G21" i="2" s="1"/>
  <c r="F20" i="2"/>
  <c r="G20" i="2" s="1"/>
  <c r="F19" i="2"/>
  <c r="G19" i="2" s="1"/>
  <c r="F18" i="2"/>
  <c r="G18" i="2" s="1"/>
  <c r="F17" i="2"/>
  <c r="G17" i="2" s="1"/>
  <c r="F16" i="2"/>
  <c r="G16" i="2" s="1"/>
  <c r="J16" i="2" s="1"/>
  <c r="F15" i="2"/>
  <c r="G15" i="2" s="1"/>
  <c r="G14" i="2"/>
  <c r="F14" i="2"/>
  <c r="F13" i="2"/>
  <c r="G13" i="2" s="1"/>
  <c r="F12" i="2"/>
  <c r="G12" i="2" s="1"/>
  <c r="F11" i="2"/>
  <c r="G11" i="2" s="1"/>
  <c r="F10" i="2"/>
  <c r="G10" i="2" s="1"/>
  <c r="F9" i="2"/>
  <c r="G9" i="2" s="1"/>
  <c r="F8" i="2"/>
  <c r="G8" i="2" s="1"/>
  <c r="J11" i="2" l="1"/>
  <c r="J300" i="2" s="1"/>
  <c r="J301" i="2" s="1"/>
  <c r="J302" i="2" s="1"/>
  <c r="G300" i="2"/>
  <c r="G301" i="2" l="1"/>
  <c r="G302" i="2" s="1"/>
</calcChain>
</file>

<file path=xl/sharedStrings.xml><?xml version="1.0" encoding="utf-8"?>
<sst xmlns="http://schemas.openxmlformats.org/spreadsheetml/2006/main" count="632" uniqueCount="450">
  <si>
    <t>№  п/п</t>
  </si>
  <si>
    <t xml:space="preserve">Содержание работы                                                                   </t>
  </si>
  <si>
    <t>Кол-во</t>
  </si>
  <si>
    <t>Цена за единицу (тенге)</t>
  </si>
  <si>
    <t xml:space="preserve">Сумма (тенге)                  </t>
  </si>
  <si>
    <t>судно</t>
  </si>
  <si>
    <t>ИТОГО с учетом НДС</t>
  </si>
  <si>
    <t>НДС 12%</t>
  </si>
  <si>
    <t>к-т</t>
  </si>
  <si>
    <t>2.1</t>
  </si>
  <si>
    <t>3.1</t>
  </si>
  <si>
    <t>м2</t>
  </si>
  <si>
    <t>3.2</t>
  </si>
  <si>
    <t>4.1</t>
  </si>
  <si>
    <t>шт</t>
  </si>
  <si>
    <t>4.2</t>
  </si>
  <si>
    <t>4.3</t>
  </si>
  <si>
    <t>4.4</t>
  </si>
  <si>
    <t>6.1</t>
  </si>
  <si>
    <t>6.2</t>
  </si>
  <si>
    <t>6.4</t>
  </si>
  <si>
    <t>6.5</t>
  </si>
  <si>
    <t>лит</t>
  </si>
  <si>
    <t>9.1</t>
  </si>
  <si>
    <t>9.2</t>
  </si>
  <si>
    <t>9.3</t>
  </si>
  <si>
    <t>k-т</t>
  </si>
  <si>
    <t>12.1</t>
  </si>
  <si>
    <t>секции</t>
  </si>
  <si>
    <t>продуть секции сжатым воздухом, обтянуть эл.соединения.</t>
  </si>
  <si>
    <t>проверка настройка тепловых защит различных потребителей.</t>
  </si>
  <si>
    <t>Выдать акт выполненных работ.</t>
  </si>
  <si>
    <t xml:space="preserve">Длина -113,0 м, ширина -21,0 м, высота борта - 6,5 м, осадка - 4,00 м. </t>
  </si>
  <si>
    <t>Водоизмещение - 8030 тонн. Дедвейт 5236,4 тонн. Валовая вместимость - 4384 рег.тонн.Чистая вместимость - 4983 рег.тонн.</t>
  </si>
  <si>
    <t>Шпили Palfinger Capstan – 10T, Year 2017</t>
  </si>
  <si>
    <t>Замена кормовых сальников</t>
  </si>
  <si>
    <t>Промывка системы охлаждения и замена охлаждающей жидкости (антифриза - " CAT ELC(Extended Life Coolant.  Prediluted 50/50") потавка анифриза от СРЗ. 1,2,3 система ВТК и НТК</t>
  </si>
  <si>
    <t>6.6</t>
  </si>
  <si>
    <t>Дефектацию гибкой муфты Flexible coupling 1,2,3 Pon Power AS, VULASTIK L3716, 311604771,311604772, 311604773 на предмет трещин и износа,  специалистами производителя CATERPILLAR</t>
  </si>
  <si>
    <t>Балластная система</t>
  </si>
  <si>
    <t>Ballast Back-Up Pump Allweiler AS, MI 150-250/41/284 U3.18D W133 IEC225-4,
16038160</t>
  </si>
  <si>
    <t>Чистка проверка датчиков потока воды балластной системы Btu Flowmeters, Flowmeters, Optimarin AS, M910E</t>
  </si>
  <si>
    <t xml:space="preserve">произвести провеpку и настройку устройства контроля изоляции. </t>
  </si>
  <si>
    <t>произвести обтяжку компонентов, контактов, соединений всех щитов, пультов, секций</t>
  </si>
  <si>
    <t>ET3SM-200 690/440V 200 kVA</t>
  </si>
  <si>
    <t xml:space="preserve">MSB 690/230V 63 kVA </t>
  </si>
  <si>
    <t>MSB 690/440V 200 kVA</t>
  </si>
  <si>
    <t>произвести ревизию генераторных автоматов Masterpact NW12 HF и последующей проверкой защит.</t>
  </si>
  <si>
    <t>произвести продувку трансформаторов с замером входного и выходного напряжения:</t>
  </si>
  <si>
    <t>произвести диагностику Protection and Power Management PPM 300</t>
  </si>
  <si>
    <t>5.1</t>
  </si>
  <si>
    <t>6.3</t>
  </si>
  <si>
    <t>Ballast Pump 1,2 Allweiler AS, MI 250-315/43/375 U3.18D S W133 IEC315-6, 16038159, 16038161</t>
  </si>
  <si>
    <t>Ballast Treatment Pump 1,2 Allweiler AS, NB 065-250/02/261-U3.12D-W133-IEC 160,
16050861</t>
  </si>
  <si>
    <t>Произвести инспекцию и ревизию клапанов балластной системы.</t>
  </si>
  <si>
    <t>Sea chests valve 801.1001, 801.2001</t>
  </si>
  <si>
    <t>Ballast overboard valve 801.1122, 801.2122</t>
  </si>
  <si>
    <t>Ballast pump 1,2, backup valves 801.1021, 801.2021, 801.1162</t>
  </si>
  <si>
    <t>Ballast treatment plant</t>
  </si>
  <si>
    <t>сист.</t>
  </si>
  <si>
    <t>Произвести зачистку цепного ящика от ила и окалины ручным способом. Если необходимо загрунтовать и покрасить. Объем  помещения 140 м3(завод).</t>
  </si>
  <si>
    <t>Якорное устройство</t>
  </si>
  <si>
    <t>Дополнительные работы</t>
  </si>
  <si>
    <t>Электрооборудование ГРЩ / АРЩ</t>
  </si>
  <si>
    <t>Произвести дефектацию с контролем сопротивления изоляции Электрооборудование ГРЩ  и кабельной сети по судну. (3 секции).</t>
  </si>
  <si>
    <t>Произвести дефектацию с контролем сопротивления изоляции. Электрооборудование ГРЩ  и кабельной сети по судну. (12 секций).</t>
  </si>
  <si>
    <t>Collision valve 801.1451</t>
  </si>
  <si>
    <t>Watertigh valves 010110,010120</t>
  </si>
  <si>
    <t>Донно-забортная арматура:</t>
  </si>
  <si>
    <t xml:space="preserve">Якорно-швартовная лебедка Palfinger Marine Norway
AS, type AW66-66K3, Year 2017 </t>
  </si>
  <si>
    <t>2.2</t>
  </si>
  <si>
    <t>2.3</t>
  </si>
  <si>
    <t>2.4</t>
  </si>
  <si>
    <t>2.5</t>
  </si>
  <si>
    <t>2.6</t>
  </si>
  <si>
    <t>2.7</t>
  </si>
  <si>
    <t>3.3</t>
  </si>
  <si>
    <t>3.4</t>
  </si>
  <si>
    <t>3.5</t>
  </si>
  <si>
    <t>кт</t>
  </si>
  <si>
    <t>Drain 3-position valve (overboard):</t>
  </si>
  <si>
    <t xml:space="preserve">Подготовительные работы </t>
  </si>
  <si>
    <t>Завод изготовитель:  «VARD BRALIA».</t>
  </si>
  <si>
    <t>Произвести испытания шпилей с выдачей акта освидетельствования. Предъявить инспектору и экипажу</t>
  </si>
  <si>
    <t xml:space="preserve">Произвести дефектацию насосов (без демонтажа). Предьявить инспектору. </t>
  </si>
  <si>
    <t>Предъявить инспектору и сдать экипажу.</t>
  </si>
  <si>
    <t>ИТОГО без НДС</t>
  </si>
  <si>
    <t>Спецификация на выполнение ремонтных работ в рамках проведения промежуточного освидетельствования MCV «Barys»</t>
  </si>
  <si>
    <t xml:space="preserve">Произвести инспекцию движителя сертифицированными специалистами производителя SCHOTTEL. Предьявить инспектору и экипажу.                                                                                                  </t>
  </si>
  <si>
    <t xml:space="preserve">шт </t>
  </si>
  <si>
    <t>м3</t>
  </si>
  <si>
    <t>2.8</t>
  </si>
  <si>
    <t>2.9</t>
  </si>
  <si>
    <t>2.10</t>
  </si>
  <si>
    <t>2.11</t>
  </si>
  <si>
    <t>2.12</t>
  </si>
  <si>
    <t>2.13</t>
  </si>
  <si>
    <t>2.14</t>
  </si>
  <si>
    <t xml:space="preserve">Установить теплообменник на штатное место, закрепить и обтянуть с усилием, согласно рекомендации производителя.(( см. Instruction Manual Calvion– IM-K-EN – 200022294: page 17) </t>
  </si>
  <si>
    <t>Монтаж решеток забортных ящиков на штатное место. Обтяжка и обвязка болтов крепления нержавеющей проволкой.( защита от самопроизвольного откручивания).</t>
  </si>
  <si>
    <t>Box Coolers</t>
  </si>
  <si>
    <t>Инспекция блока управления ICAF</t>
  </si>
  <si>
    <t xml:space="preserve">Произвести инспекцию генератора сертифицированными специалистами производителя Stamford. Предьявить инспектору и экипажу.   </t>
  </si>
  <si>
    <t>Произвести очистку, обтяжку контактов генератора</t>
  </si>
  <si>
    <t>5.2</t>
  </si>
  <si>
    <t>5.3</t>
  </si>
  <si>
    <t>5.4</t>
  </si>
  <si>
    <t>5.5</t>
  </si>
  <si>
    <t>5.6</t>
  </si>
  <si>
    <t>5.7</t>
  </si>
  <si>
    <t>5.8</t>
  </si>
  <si>
    <t>14</t>
  </si>
  <si>
    <t>Система ICCP. Номер: 10597-02</t>
  </si>
  <si>
    <t>метр кв</t>
  </si>
  <si>
    <t>Произвести покраску грузовой палубы</t>
  </si>
  <si>
    <t>Произвести покраску надстройки</t>
  </si>
  <si>
    <t>Примечание/ЗИП</t>
  </si>
  <si>
    <t>Произвести ходовые испытания судна по завершению ремонта / предоставить отчет о ходовом испытании</t>
  </si>
  <si>
    <t>Box Coolers, System 1, 2, 3, 4, 5, 6. Kelvion Machine Cooling B.V., Демонтаж решеток забортных ящиков</t>
  </si>
  <si>
    <t>Box Coolers, System 1, 2, 3, 4, 5, 6. Kelvion Machine Cooling B.V., Демонтаж теплообменников</t>
  </si>
  <si>
    <t>Box Coolers, System 1, 2, 3, 4, 5, 6. Kelvion Machine Cooling B.V., Слить охлаждающую жидкость из системы теплообменников</t>
  </si>
  <si>
    <t xml:space="preserve">Очистить трубные пучки и крышки охладителей от накипи и обрастания химическим способом (руководствуясь Instruction Manual Celvion – IM-K-EN – 200022294; page 14;24;25), путём погружения в ванну с химическим раствором и последующей промывкой. </t>
  </si>
  <si>
    <t>Box Coolers, System 1, 2, 3, 4, 5, 6. Kelvion Machine Cooling B.V., Провести дефектацию пучков труб теплообменника на предмет повреждения, вмятин. В случае выяления восстановить</t>
  </si>
  <si>
    <t>Box Coolers, System 1, 2, 3, 4, 5, 6. Kelvion Machine Cooling B.V., Полное восстановление внешнего покрытия/ повторное нанесение покрытия несколькими слоями фенольной смолы горячего отверждения для создания гальванической изоляции и защиты теплообменника от гальванической коррозии.</t>
  </si>
  <si>
    <t>Box Coolers, System 1, 2, 3, 4, 5, 6. Kelvion Machine Cooling B.V., Замена болтов/шпильек/шайб/гаек на новые (материал нержавеющая сталь)</t>
  </si>
  <si>
    <t>ком-т</t>
  </si>
  <si>
    <t xml:space="preserve">Зачистка посадочных мест бокс кулеров, кингстонные ящики от обрастания, восстановить защитные покрытия согласно покрасочной ведомости. </t>
  </si>
  <si>
    <t>Произвести опрессовку теплообменника давлением 5 bar. Предъявить TSI/CMX.</t>
  </si>
  <si>
    <t>Установить на место патрубки для соединения с системой охлаждения. С заменой фланцевых прoкладок.</t>
  </si>
  <si>
    <t>Проверка в работе систем охлаждения 1, 2, 3, 4, 5 и 6, проверка на герметичность после спуска судна на воду</t>
  </si>
  <si>
    <t>Система ICAF. Номер: 14089/96526</t>
  </si>
  <si>
    <t>Замена анодной защиты на новые (Box Coolers, System 1, 2, 3)</t>
  </si>
  <si>
    <t>Замена анодной защиты на новые (Box Coolers, System 4)</t>
  </si>
  <si>
    <t>Замена анодной защиты на новые (Box Coolers, System 5, 6)</t>
  </si>
  <si>
    <t>Проверка кабельной трассы, системы ICCP на целостность путем замера сопротивления изоляции</t>
  </si>
  <si>
    <t>Проверка кабельной трассы, системы ICAF на целостность путем замера сопротивления изоляции</t>
  </si>
  <si>
    <t>Произвести переборку донно-забортной арматуры с выдачей сертификатов и сдачей регистру.</t>
  </si>
  <si>
    <t>Переборка Bilge overboard valve 803.1072 (DN 125) при необходимости восстановить/заменить на новый</t>
  </si>
  <si>
    <t>Переборка Bilge overboard non-return valve 803.1071 (DN 125) при необходимости восстановить/заменить на новый</t>
  </si>
  <si>
    <t>Переборка Oily bilge and sludge overboard valve 803.5051 (DN 40) при необходимости восстановить/заменить на новый</t>
  </si>
  <si>
    <t>Переборка Sewage black water overboard valve 582.1173, 582.1163 (DN 50) при необходимости восстановить/заменить на новый</t>
  </si>
  <si>
    <t>Переборка Seawage black valve 582.1161, 582.1171 (DN 50) при необходимости восстановить/заменить на новый</t>
  </si>
  <si>
    <t>Переборка Direct suction bilge pump №1, №2; 803.1021, 803.1051 (DN 100) при необходимости восстановить/заменить на новый</t>
  </si>
  <si>
    <t>Произвести дефектацию тормозных лент (при необходимости заменить на новые).  Сделать испытание тормозного усилия, составить акт, предъявить инспектору экипажу</t>
  </si>
  <si>
    <t xml:space="preserve">Произвести проверку системы очистки балласта с выдачей сертификата, предъявить инспектору и экипажу. </t>
  </si>
  <si>
    <t>По результатам инспекции замена подшипников неприводного конца. Каталожный номер: 45-0340. ЗИП от СРЗ</t>
  </si>
  <si>
    <t>Ед.изм.</t>
  </si>
  <si>
    <t>1.1</t>
  </si>
  <si>
    <t>Проверьте и отремонтируйте топливные форсунки.</t>
  </si>
  <si>
    <t>Разборка навесного оборудования: турбокомпрессор, интеркулер, топливный насос, проводка, КИП, датчики, стартер и прочее.</t>
  </si>
  <si>
    <t>Демонтаж головки блока цилиндров (ГБЦ).</t>
  </si>
  <si>
    <t>Проверить на предмет износа распредвал и толкатели, при необходимости восстановить, заменить подшипники</t>
  </si>
  <si>
    <t>Замена водяного насоса и термостатов, патрубок НТК и ВТК</t>
  </si>
  <si>
    <t>Замена впускных/выхлопных клапанов, седла клапанов и направляющие втулки.</t>
  </si>
  <si>
    <t>Замена поршневых пальцев и колец</t>
  </si>
  <si>
    <t>Проверить на предмет износа и повреждения поршни и шатуны, гильзы цилиндров. При необходимости восстановить (расточить) или заменить на новые</t>
  </si>
  <si>
    <t>Замена - коренных подшипников и упорных шайб коленчатого вала</t>
  </si>
  <si>
    <t>Замена - шатунных подшипников</t>
  </si>
  <si>
    <t>Замена - болтов выхлопного коллектора</t>
  </si>
  <si>
    <t>Замена - форсунок охлаждения поршня/фиксаторов охлаждения поршня</t>
  </si>
  <si>
    <t>Замена - замена уплотнения коленчатого вала</t>
  </si>
  <si>
    <t>Дефектовка турбины на наличие люфтов и повреждений. При необходимости восстановить</t>
  </si>
  <si>
    <t>Дефектовать топливоподкачивающий насос, при необходимости замените изношенные детали и уплотнения/сальники.</t>
  </si>
  <si>
    <t>Замена уплотнении/сальников масляного насос и фильтры. Проверить масляные каналы на загрязнения.</t>
  </si>
  <si>
    <t>ECM: Проверить блок управления двигателем на наличие ошибок и обновить программное обеспечение.</t>
  </si>
  <si>
    <t>Проверка датчиков: давления масла, температуры, положения коленвала и распредвала при необходимости заменить</t>
  </si>
  <si>
    <t>Проводка двигателя: Проверить состояние проводки и разъемов.</t>
  </si>
  <si>
    <t>Сборка двигателя в обратной последовательности, используя новые прокладки и уплотнения.</t>
  </si>
  <si>
    <t>Отрегулировать тепловые зазоры клапанов.</t>
  </si>
  <si>
    <t>Залить новое масло и охлаждающую жидкость, соответствующие спецификациям CAT.</t>
  </si>
  <si>
    <t>Замена - мостов впуска и выпуска</t>
  </si>
  <si>
    <t>Замена - доборных пластин/подъемных держателей</t>
  </si>
  <si>
    <t>Замена - масляного насоса двигателя</t>
  </si>
  <si>
    <t>Замена - передних и задних масляных приоритетных пружин</t>
  </si>
  <si>
    <t>Замена - прокладок картера</t>
  </si>
  <si>
    <t>Замена - прокладок лючков блока цилиндра</t>
  </si>
  <si>
    <t>Проверка произвести промывку масленного холодильника, в случае необходимости заменить</t>
  </si>
  <si>
    <t>Проверка компенсаторов выхлопной системы</t>
  </si>
  <si>
    <t>Проверка опоры, подушки двигателя</t>
  </si>
  <si>
    <t>Дефектация вторичного охладителя (интеркуллер) - на утечку, трещины и зачистка</t>
  </si>
  <si>
    <t>Замена уплотнений и подшипников</t>
  </si>
  <si>
    <t>При разборке/сборке узлов двигателя произвести замену сальников, уплотнений, прокладок</t>
  </si>
  <si>
    <t>шт.</t>
  </si>
  <si>
    <t xml:space="preserve">Произвести дефектацию насосов (с демонтажом). Предьявить инспектору. </t>
  </si>
  <si>
    <t>Замена рукоятки клапана (задвижки) балластной системы на главной палубе</t>
  </si>
  <si>
    <t>Замена прокладок лючков на открытой палубе</t>
  </si>
  <si>
    <t>Проверка сопротивления изоляции обмоток</t>
  </si>
  <si>
    <t>Проверка затяжек крепежных винтов, электрических соединений</t>
  </si>
  <si>
    <t>Общая визуальная проверка состояния электромоторов</t>
  </si>
  <si>
    <t>Сварочные работы</t>
  </si>
  <si>
    <t>Установить дополнительное освещение на грузовую палубу: левый, правый борт.</t>
  </si>
  <si>
    <t>Ремонт замена лейров на палубе (материал метал нержавеющая), наружняя часть леера: длина 120 метров, диаметр 4см (1,57 дюйм), внутрення часть: длина 636 метров, диаметр 2см (0,79 дюйм)</t>
  </si>
  <si>
    <t>Главный движители Schottel. Тип SRP 1012 R/R, серийный номер SRP-120439 Н/Ч 15824 ,  Тип SRP 1012 R/L Н/Ч 15865, серийный номер SRP-120440</t>
  </si>
  <si>
    <t>Электромотор главного движителя Siemens. Тип 1LH8 457-4PM90-Z, серийный номер: N-J31504124010001 Н/Ч 15824, N-J31504124010002  15865</t>
  </si>
  <si>
    <t xml:space="preserve">Генератор Stamford FRAME/CORE: HCM634K2 Серийный номер: A16K453705, Н/Ч 24992. A16K453706, Н/Ч 25105. A16K453707 Н/Ч 24975.   </t>
  </si>
  <si>
    <t xml:space="preserve">Изготовить прокладки для установки между пучком трубок и крышкой теплообменника. Между собранным теплообменником и местом крепления теплообменника в кингстонном ящике. </t>
  </si>
  <si>
    <t>Заполнить систему теплообменника охлаждающей жидкостью , соединение теплообменников с системой</t>
  </si>
  <si>
    <t>2.15</t>
  </si>
  <si>
    <t>Инспекция анодов, при необходимости заменить на новые</t>
  </si>
  <si>
    <t>Инспекция электродов, при необходимости заменить на новые</t>
  </si>
  <si>
    <t>По результатам инспекции замена подшипников приводного конца.</t>
  </si>
  <si>
    <t>Замена диодов и варистеров, рекомендованно изготовителем после 5 лет.</t>
  </si>
  <si>
    <t xml:space="preserve">Заменить масло в редукторе. </t>
  </si>
  <si>
    <t xml:space="preserve">Замена масло в редукторе. </t>
  </si>
  <si>
    <t xml:space="preserve">Установка дополнительных стационарных тепловых пушек в помещениях Pump Room и Main Propulsion. </t>
  </si>
  <si>
    <t xml:space="preserve">Замена гаек лючков на открытой палубе </t>
  </si>
  <si>
    <t xml:space="preserve">Заливной пол для ЦПУ </t>
  </si>
  <si>
    <t>Испытания:
Проверка системы впуска и выпуска: на отсутствие утечки воздуха или выхлопных газов. Проверка двигателя в работе на холостом ходу.
Проверьте параметры: давление масла, температура, компрессия, выхлопные газы. Произвести инспекцию двигателя сертифицированными специалистами производителя CATERPILLAR. Предьявить инспектору и экипажу.    
Проведите тестирование под нагрузкой (если генератор используется для выработки электроэнергии).</t>
  </si>
  <si>
    <t>Установка дополнительных поручней в лестничной площадке надстройки и на лестничной площадке главной палубы.  (15 метров)</t>
  </si>
  <si>
    <t xml:space="preserve">Вытравить якорные цепи, правый и левый; произвести чистку пескоструем, дефектацию, контрафорцию, обварку и  маркировка смычек  ( 2 якоря (11 смычек -11 х 27,5 метров). Предъявить инспектору и экипажу.                               </t>
  </si>
  <si>
    <t xml:space="preserve">Произвести вскрытие  корпуса редуктора лебедки для осмотра валов и подшипников, зубчатых колес и шестерен, механизма переднего и заднего хода, насоса смазочного масла, при необходимости с разборкой узлов и деталей. Составить карту обмеров. Необходимо произвести замену тормозных элементов (феродо) на тормозном  диски (Motor Brake) электродвигателя (KONCAR 7ABZKA 225M-4TA 55kW 690V). Произвести замену уплотнении, прокладок. Предьявить инспектору </t>
  </si>
  <si>
    <t xml:space="preserve">Установка ультразвукового оборудования Sonihull на Box Cooler №1,2,3,4. </t>
  </si>
  <si>
    <t>Стоянка судна у причала</t>
  </si>
  <si>
    <t>сутки</t>
  </si>
  <si>
    <t>час</t>
  </si>
  <si>
    <t xml:space="preserve">Произвести сборку и разборку скаффольдов </t>
  </si>
  <si>
    <t>Заземление  судна</t>
  </si>
  <si>
    <t>Потребление  электрической энергии</t>
  </si>
  <si>
    <t>кВт.час</t>
  </si>
  <si>
    <t>день</t>
  </si>
  <si>
    <t xml:space="preserve">Подача пресной воды в период докования </t>
  </si>
  <si>
    <t>Сдача льяльных и фекальных вод</t>
  </si>
  <si>
    <t xml:space="preserve">Утилизация судового и бытового мусора </t>
  </si>
  <si>
    <t>конт.</t>
  </si>
  <si>
    <t>Услуги буксиров</t>
  </si>
  <si>
    <t>1.2</t>
  </si>
  <si>
    <t>1.3</t>
  </si>
  <si>
    <t>1.4</t>
  </si>
  <si>
    <t>1.5</t>
  </si>
  <si>
    <t>1.6</t>
  </si>
  <si>
    <t>1.7</t>
  </si>
  <si>
    <t>1.8</t>
  </si>
  <si>
    <t>1.9</t>
  </si>
  <si>
    <t>1.10</t>
  </si>
  <si>
    <t>1.11</t>
  </si>
  <si>
    <t>1.12</t>
  </si>
  <si>
    <t>1.13</t>
  </si>
  <si>
    <t>1.14</t>
  </si>
  <si>
    <t>1.15</t>
  </si>
  <si>
    <t>1.16</t>
  </si>
  <si>
    <t>1.17</t>
  </si>
  <si>
    <t>1.18</t>
  </si>
  <si>
    <t>6.7</t>
  </si>
  <si>
    <t>6.8</t>
  </si>
  <si>
    <t>6.9</t>
  </si>
  <si>
    <t>6.10</t>
  </si>
  <si>
    <t>6.11</t>
  </si>
  <si>
    <t>6.12</t>
  </si>
  <si>
    <t>6.13</t>
  </si>
  <si>
    <t>6.14</t>
  </si>
  <si>
    <t>6.15</t>
  </si>
  <si>
    <t>6.16</t>
  </si>
  <si>
    <t>6.17</t>
  </si>
  <si>
    <t>6.18</t>
  </si>
  <si>
    <t>6.19</t>
  </si>
  <si>
    <t>6.20</t>
  </si>
  <si>
    <t>6.21</t>
  </si>
  <si>
    <t>6.22</t>
  </si>
  <si>
    <t>6.23</t>
  </si>
  <si>
    <t>6.24</t>
  </si>
  <si>
    <t>6.25</t>
  </si>
  <si>
    <t>6.26</t>
  </si>
  <si>
    <t>6.27</t>
  </si>
  <si>
    <t>6.28</t>
  </si>
  <si>
    <t>6.29</t>
  </si>
  <si>
    <t>6.30</t>
  </si>
  <si>
    <t>6.31</t>
  </si>
  <si>
    <t>6.32</t>
  </si>
  <si>
    <t>6.33</t>
  </si>
  <si>
    <t>6.34</t>
  </si>
  <si>
    <t>6.35</t>
  </si>
  <si>
    <t>6.36</t>
  </si>
  <si>
    <t>6.37</t>
  </si>
  <si>
    <t>6.38</t>
  </si>
  <si>
    <t>6.39</t>
  </si>
  <si>
    <t>7.1</t>
  </si>
  <si>
    <t>7.2</t>
  </si>
  <si>
    <t>7.3</t>
  </si>
  <si>
    <t>7.4</t>
  </si>
  <si>
    <t>7.5</t>
  </si>
  <si>
    <t>8</t>
  </si>
  <si>
    <t>8.1</t>
  </si>
  <si>
    <t>8.2</t>
  </si>
  <si>
    <t>8.3</t>
  </si>
  <si>
    <t>8.4</t>
  </si>
  <si>
    <t>8.5</t>
  </si>
  <si>
    <t>8.6</t>
  </si>
  <si>
    <t>8.7</t>
  </si>
  <si>
    <t>8.8</t>
  </si>
  <si>
    <t>8.9</t>
  </si>
  <si>
    <t>8.10</t>
  </si>
  <si>
    <t>8.11</t>
  </si>
  <si>
    <t>8.12</t>
  </si>
  <si>
    <t>8.13</t>
  </si>
  <si>
    <t>8.14</t>
  </si>
  <si>
    <t>9</t>
  </si>
  <si>
    <t>10.1</t>
  </si>
  <si>
    <t>10.2</t>
  </si>
  <si>
    <t>10.3</t>
  </si>
  <si>
    <t>11</t>
  </si>
  <si>
    <t>11.1</t>
  </si>
  <si>
    <t>11.2</t>
  </si>
  <si>
    <t>11.3</t>
  </si>
  <si>
    <t>11.4</t>
  </si>
  <si>
    <t>11.5</t>
  </si>
  <si>
    <t>11.6</t>
  </si>
  <si>
    <t>11.7</t>
  </si>
  <si>
    <t>11.8</t>
  </si>
  <si>
    <t>11.9</t>
  </si>
  <si>
    <t>11.10</t>
  </si>
  <si>
    <t>11.11</t>
  </si>
  <si>
    <t>11.12</t>
  </si>
  <si>
    <t>11.13</t>
  </si>
  <si>
    <t>11.14</t>
  </si>
  <si>
    <t>12</t>
  </si>
  <si>
    <t>13</t>
  </si>
  <si>
    <t>13.1</t>
  </si>
  <si>
    <t>13.2</t>
  </si>
  <si>
    <t>Чистка STP</t>
  </si>
  <si>
    <t>Осмотр и предъявление инспектору КО</t>
  </si>
  <si>
    <t>Очистка подводной части судна от обрастаний с последующей промывкой</t>
  </si>
  <si>
    <t>4 бокс-кулера в носовой части</t>
  </si>
  <si>
    <t>2 бокс-кулера в кормовой части</t>
  </si>
  <si>
    <t>Очистку выполнить механическим способом (гидродинамическая очистка или ручная механическая очистка с использованием щеток и скребков).
После завершения работ произвести полную промывку обработанных участков пресной водой.</t>
  </si>
  <si>
    <t>Днище судна, бортовые поверхности до уровня ватерлинии, скуловая часть судна, решетки бокс-кулеров и переборки в их расположениях, решетки подруливающих устройств и переборки в их расположениях</t>
  </si>
  <si>
    <t>Винто-рулевой комплекс (ВРК)</t>
  </si>
  <si>
    <t>Подруливающее устройство (ПУ)</t>
  </si>
  <si>
    <t>Смыть пресной водой Р=350 бар</t>
  </si>
  <si>
    <t>Очистить корпус от загрязнения с помощью подходящего моющего средства, затем промыть пресной водой. После высыхания поверхности: абразивная очистка до степени Sa 2½ (ISO 8501-1) сварных швов и корродированных участков.</t>
  </si>
  <si>
    <t>Борт (надводная часть включая фальшборт снаружи -корма и бак) - 900 м2</t>
  </si>
  <si>
    <t>Покраска корпуса судна</t>
  </si>
  <si>
    <t xml:space="preserve">Окрасить согласно карты покраски на 4 слоя, под наблюдением представителя производителя краски. </t>
  </si>
  <si>
    <t>Sea chests (including sorrounding hull area of 500 mm)/ Морские ящики (включая площадь окружения корпуса 500 мм)  150 метр кв.</t>
  </si>
  <si>
    <r>
      <t>ICCP anode shield area/</t>
    </r>
    <r>
      <rPr>
        <b/>
        <sz val="11"/>
        <rFont val="Calibri"/>
        <family val="2"/>
        <charset val="204"/>
      </rPr>
      <t xml:space="preserve"> </t>
    </r>
    <r>
      <rPr>
        <b/>
        <sz val="12"/>
        <rFont val="Times New Roman"/>
        <family val="1"/>
        <charset val="204"/>
      </rPr>
      <t>Площадь анодного экрана ICCP - 25 м2</t>
    </r>
  </si>
  <si>
    <t>External Decks , Hatches/ Внешние палубы, люки - 2500 м2</t>
  </si>
  <si>
    <t xml:space="preserve">Окрасить согласно карты покраски на 3 слоя, под наблюдением представителя производителя краски. </t>
  </si>
  <si>
    <t>Chain lockers/ Цепной ящик - 140 м2</t>
  </si>
  <si>
    <t xml:space="preserve">Окрасить согласно карты покраски на 2 слоя, под наблюдением представителя производителя краски. </t>
  </si>
  <si>
    <t>Fresh water tanks (Drinking water / potable water)/ Танк Пресной воды - 876 м2</t>
  </si>
  <si>
    <t>Internal decks/ Внутренние палубы - 55 м2</t>
  </si>
  <si>
    <t>Superstructure , External Bulkheads , Masts , Deckhouse , Casing , Funnel / Надстройка, Внешние переборки, Мачты, Мостик, Кожух, Труба - 2025 м2</t>
  </si>
  <si>
    <t>Accomodation Band , Wheelhouse Top/ Жилой отсек, верхняя часть рулевой рубки - 100 м2</t>
  </si>
  <si>
    <t>Смазочное масло</t>
  </si>
  <si>
    <t>Рулевое устройство</t>
  </si>
  <si>
    <t>Заменить уплотнения рулевого механизма.</t>
  </si>
  <si>
    <t>Визуально осмотреть червячную передачу и контактный рисунок.</t>
  </si>
  <si>
    <t>Заменить шланги.</t>
  </si>
  <si>
    <t>Верхний редуктор</t>
  </si>
  <si>
    <t>Визуально осмотреть состояние зубчатой передачи.</t>
  </si>
  <si>
    <t>Заменить уплотнения вращающегося вала.</t>
  </si>
  <si>
    <t>Внешний визуальный осмотр редуктора (утечки и т.д.).</t>
  </si>
  <si>
    <t>Нижний редуктор</t>
  </si>
  <si>
    <t>Заменить уплотнение гребного вала.</t>
  </si>
  <si>
    <t>Заменить аноды.</t>
  </si>
  <si>
    <t>Винтовая группа (CP-версия)</t>
  </si>
  <si>
    <t>Снять винт и втулку, заменить все соответствующие уплотнения.</t>
  </si>
  <si>
    <t>Провести измерение перекрытия пластин держателя лопастей и корпуса.</t>
  </si>
  <si>
    <t>Провести измерение зазора между пластиной держателя лопастей и направляющей планкой.</t>
  </si>
  <si>
    <t>Гребной винт и насадка</t>
  </si>
  <si>
    <t>Очистить гребной винт и насадку.</t>
  </si>
  <si>
    <t>Визуальный осмотр резьбового соединения</t>
  </si>
  <si>
    <t>Проверить состояние (например повреждения из за заземления)</t>
  </si>
  <si>
    <t>Система рулевого управления</t>
  </si>
  <si>
    <t>Заменить уплотнение рулевой трубы.</t>
  </si>
  <si>
    <t>Провести внешний визуальный осмотр.</t>
  </si>
  <si>
    <t>Система смазки</t>
  </si>
  <si>
    <t>Зубчатая муфта</t>
  </si>
  <si>
    <t>Проверить соосность муфты.</t>
  </si>
  <si>
    <t>Заменить уплотнения.</t>
  </si>
  <si>
    <t>Сальник/направляющая втулка</t>
  </si>
  <si>
    <t>Заменить набивку (арамидную).</t>
  </si>
  <si>
    <t>Призматическое направляющее устройство</t>
  </si>
  <si>
    <t>Заменить направляющие элементы.</t>
  </si>
  <si>
    <t>Система валопровода</t>
  </si>
  <si>
    <t>Проверить соосность.</t>
  </si>
  <si>
    <t>Проверить подшипниковую систему. (1167641)</t>
  </si>
  <si>
    <t>Тормозная система</t>
  </si>
  <si>
    <t>Система управления</t>
  </si>
  <si>
    <t>Проверить кабели и кабельные соединения.</t>
  </si>
  <si>
    <t>Шкаф управления</t>
  </si>
  <si>
    <t>Очистить релейные контакты.</t>
  </si>
  <si>
    <t>Очистить шкаф управления.</t>
  </si>
  <si>
    <t>Электронные модули</t>
  </si>
  <si>
    <t>Очистить разъемы.</t>
  </si>
  <si>
    <t>Электродвигатели рулевого управления</t>
  </si>
  <si>
    <t>Заменить тормозные колодки.</t>
  </si>
  <si>
    <t>Конвертор</t>
  </si>
  <si>
    <t>Очистить шкаф преобразователя частоты.</t>
  </si>
  <si>
    <t>Гидравлическая система</t>
  </si>
  <si>
    <t>Заменить гидравлические шланги.</t>
  </si>
  <si>
    <t>Заменить гибкие элементы муфты.</t>
  </si>
  <si>
    <t>Клиновые ремни</t>
  </si>
  <si>
    <t>Заменить ремни.</t>
  </si>
  <si>
    <t>Гидравлический агрегат</t>
  </si>
  <si>
    <t>Визуальный осмотр теплообменника (утечки, повреждения)</t>
  </si>
  <si>
    <t>Заменить масло, если требуется по результатам анализа масла. (по 1505 литров)</t>
  </si>
  <si>
    <t>Система охлаждения ADWATEC</t>
  </si>
  <si>
    <t>Вакуумная Система LEACON</t>
  </si>
  <si>
    <t>Заменить масло при необходимости по результатам анализа. (по 40 литров)</t>
  </si>
  <si>
    <t>Ремонт блока управления ICCP с активацией новым ключем от производителя</t>
  </si>
  <si>
    <t>Проверка подшипников, очистка старой смазки и смазать новой смазкой</t>
  </si>
  <si>
    <t>Flat Bottom and Vertical Sides/Плоское дно и вертикальные боковины 2930 метр кв.</t>
  </si>
  <si>
    <t>15</t>
  </si>
  <si>
    <t>18</t>
  </si>
  <si>
    <t>19</t>
  </si>
  <si>
    <t>20</t>
  </si>
  <si>
    <t>21</t>
  </si>
  <si>
    <t>22</t>
  </si>
  <si>
    <t>24</t>
  </si>
  <si>
    <t>25</t>
  </si>
  <si>
    <t>48.1</t>
  </si>
  <si>
    <t>48.2</t>
  </si>
  <si>
    <t>49</t>
  </si>
  <si>
    <t xml:space="preserve">Расчёт подъёма и спуска судна, подъем судно в слип и спуск со слипа после ремонта. </t>
  </si>
  <si>
    <t>Доковый тариф - стоянко судно на слипе</t>
  </si>
  <si>
    <t>Услуги причального крана (автокран г/п 25 т)</t>
  </si>
  <si>
    <t>Услуги докового крана (Плавучий кран г/п 16 т)</t>
  </si>
  <si>
    <t>Подключение пожарной линии</t>
  </si>
  <si>
    <t>Поддержание давления в системе</t>
  </si>
  <si>
    <t>Подключение берегового питания</t>
  </si>
  <si>
    <t>1.11.1</t>
  </si>
  <si>
    <t>Использовоние берегового ДГ (при необходимости)</t>
  </si>
  <si>
    <t>Установка трапа</t>
  </si>
  <si>
    <t>Цена за единицу usd)</t>
  </si>
  <si>
    <t>Предоставить схему протекторной защиты. Протекторы поставляет Заказчик</t>
  </si>
  <si>
    <t>Какого рода ремонт необходим и какая неисправновсть у блока управления</t>
  </si>
  <si>
    <t xml:space="preserve">Механическая часть. Главный двигатель. Изготовитель CATERPILLAR CAT C32 ACERT.Серийный номер № RSD 00646 Н/Ч 24992. № RSD 00648 Н/Ч 25105 . № RSD 00651 Н/Ч 24975 </t>
  </si>
  <si>
    <t>поставка запчасти Заказчика</t>
  </si>
  <si>
    <t>Площадь по факту</t>
  </si>
  <si>
    <t>Набить название судна на баке, с правого и левого бортов, название в кормовой части. BARYS. покраска диска плимсоля, грузовых марок (Нос х 2, Мидель х 2, корма х 2) марки углубления.</t>
  </si>
  <si>
    <t>Площадь по факту, покрасочные материалы Заказчика.</t>
  </si>
  <si>
    <t>Покрасочные материалы Заказчика.</t>
  </si>
  <si>
    <t>В том числе доковые работы</t>
  </si>
  <si>
    <t>раз</t>
  </si>
  <si>
    <t>по факту, так как необходимо уточнить объем работ</t>
  </si>
  <si>
    <t>работу выполняет сертифицированная субподрядная организация</t>
  </si>
  <si>
    <t xml:space="preserve"> сертифицированные специалисти обеспечивает Заказчик</t>
  </si>
  <si>
    <t>Поставка запчасти Заказчика</t>
  </si>
  <si>
    <t>Произвести вскрытие Void Space для проверки подключения и состояния шлангов масла. Предъявить инспектору.</t>
  </si>
  <si>
    <t>кто делает анализы масла? Масло поставляетЗаказчик.</t>
  </si>
  <si>
    <t>Учтено в пункте 14. Запчасти Заказчика.</t>
  </si>
  <si>
    <t>Нет ясности по объемом работ и характеристики STP</t>
  </si>
  <si>
    <t>25.1</t>
  </si>
  <si>
    <t>25.2</t>
  </si>
  <si>
    <t>25.3</t>
  </si>
  <si>
    <t>25.4</t>
  </si>
  <si>
    <t>25.5</t>
  </si>
  <si>
    <t>25.6</t>
  </si>
  <si>
    <t>25.7</t>
  </si>
  <si>
    <t xml:space="preserve">частота бортовой сети 50 или 60 HZ и прогнозируемая нагрузка?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</si>
</sst>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-* #,##0.00_р_._-;\-* #,##0.00_р_._-;_-* &quot;-&quot;??_р_._-;_-@_-"/>
    <numFmt numFmtId="164" formatCode="#,##0.00\ _₽"/>
    <numFmt numFmtId="165" formatCode="_-* #,##0.00\ _₽_-;\-* #,##0.00\ _₽_-;_-* &quot;-&quot;??\ _₽_-;_-@_-"/>
  </numFmts>
  <fonts count="17" x14ac:knownFonts="1">
    <font>
      <sz val="10"/>
      <name val="Arial Cyr"/>
      <charset val="204"/>
    </font>
    <font>
      <sz val="8"/>
      <name val="Arial Cyr"/>
      <family val="2"/>
      <charset val="204"/>
    </font>
    <font>
      <sz val="10"/>
      <name val="Arial Cyr"/>
      <charset val="204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  <font>
      <sz val="12"/>
      <name val="Arial"/>
      <family val="2"/>
      <charset val="204"/>
    </font>
    <font>
      <b/>
      <sz val="12"/>
      <name val="Times New Roman"/>
      <family val="1"/>
    </font>
    <font>
      <sz val="12"/>
      <name val="Times New Roman"/>
      <family val="1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sz val="12"/>
      <color theme="1"/>
      <name val="Times New Roman"/>
      <family val="1"/>
      <charset val="204"/>
    </font>
    <font>
      <sz val="11"/>
      <name val="Times New Roman"/>
      <family val="1"/>
      <charset val="204"/>
    </font>
    <font>
      <b/>
      <sz val="12"/>
      <color rgb="FF0070C0"/>
      <name val="Times New Roman"/>
      <family val="1"/>
    </font>
    <font>
      <sz val="12"/>
      <color rgb="FF0070C0"/>
      <name val="Times New Roman"/>
      <family val="1"/>
    </font>
    <font>
      <sz val="12"/>
      <color rgb="FFFF0000"/>
      <name val="Times New Roman"/>
      <family val="1"/>
      <charset val="204"/>
    </font>
    <font>
      <b/>
      <sz val="12"/>
      <color rgb="FFFF0000"/>
      <name val="Times New Roman"/>
      <family val="1"/>
    </font>
    <font>
      <sz val="12"/>
      <color rgb="FFFF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8" fillId="0" borderId="0"/>
  </cellStyleXfs>
  <cellXfs count="232">
    <xf numFmtId="0" fontId="0" fillId="0" borderId="0" xfId="0"/>
    <xf numFmtId="0" fontId="4" fillId="0" borderId="1" xfId="1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center" wrapText="1"/>
    </xf>
    <xf numFmtId="0" fontId="4" fillId="0" borderId="0" xfId="0" applyFont="1" applyAlignment="1">
      <alignment horizontal="right" vertical="center"/>
    </xf>
    <xf numFmtId="0" fontId="5" fillId="0" borderId="0" xfId="0" applyFont="1" applyAlignment="1">
      <alignment wrapText="1"/>
    </xf>
    <xf numFmtId="2" fontId="4" fillId="0" borderId="0" xfId="0" applyNumberFormat="1" applyFont="1" applyAlignment="1">
      <alignment horizontal="center" vertical="center" wrapText="1"/>
    </xf>
    <xf numFmtId="49" fontId="4" fillId="0" borderId="0" xfId="0" applyNumberFormat="1" applyFont="1" applyAlignment="1">
      <alignment horizontal="left" vertical="center" wrapText="1"/>
    </xf>
    <xf numFmtId="49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164" fontId="6" fillId="0" borderId="1" xfId="0" applyNumberFormat="1" applyFont="1" applyBorder="1" applyAlignment="1">
      <alignment horizontal="center" vertical="center" wrapText="1"/>
    </xf>
    <xf numFmtId="43" fontId="6" fillId="0" borderId="1" xfId="1" applyFont="1" applyFill="1" applyBorder="1" applyAlignment="1">
      <alignment horizontal="center" vertical="center" wrapText="1"/>
    </xf>
    <xf numFmtId="43" fontId="6" fillId="0" borderId="1" xfId="1" applyFont="1" applyFill="1" applyBorder="1" applyAlignment="1">
      <alignment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6" fillId="3" borderId="1" xfId="1" applyNumberFormat="1" applyFont="1" applyFill="1" applyBorder="1" applyAlignment="1">
      <alignment horizontal="center" vertical="center" wrapText="1"/>
    </xf>
    <xf numFmtId="43" fontId="6" fillId="3" borderId="1" xfId="1" applyFont="1" applyFill="1" applyBorder="1" applyAlignment="1">
      <alignment vertical="center" wrapText="1"/>
    </xf>
    <xf numFmtId="0" fontId="6" fillId="3" borderId="1" xfId="0" applyFont="1" applyFill="1" applyBorder="1" applyAlignment="1">
      <alignment vertical="center" wrapText="1"/>
    </xf>
    <xf numFmtId="43" fontId="6" fillId="3" borderId="1" xfId="1" applyFont="1" applyFill="1" applyBorder="1" applyAlignment="1">
      <alignment horizontal="center" vertical="center" wrapText="1"/>
    </xf>
    <xf numFmtId="0" fontId="4" fillId="3" borderId="1" xfId="1" applyNumberFormat="1" applyFont="1" applyFill="1" applyBorder="1" applyAlignment="1">
      <alignment horizontal="center" vertical="center" wrapText="1"/>
    </xf>
    <xf numFmtId="0" fontId="4" fillId="0" borderId="4" xfId="1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6" fillId="3" borderId="1" xfId="0" applyFont="1" applyFill="1" applyBorder="1" applyAlignment="1">
      <alignment vertical="center"/>
    </xf>
    <xf numFmtId="43" fontId="6" fillId="3" borderId="3" xfId="1" applyFont="1" applyFill="1" applyBorder="1" applyAlignment="1">
      <alignment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2" applyNumberFormat="1" applyFont="1" applyFill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right" vertical="center" wrapText="1"/>
    </xf>
    <xf numFmtId="49" fontId="4" fillId="2" borderId="1" xfId="0" applyNumberFormat="1" applyFont="1" applyFill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2" xfId="0" applyNumberFormat="1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49" fontId="4" fillId="4" borderId="1" xfId="0" applyNumberFormat="1" applyFont="1" applyFill="1" applyBorder="1" applyAlignment="1">
      <alignment horizontal="center" vertical="center" wrapText="1"/>
    </xf>
    <xf numFmtId="49" fontId="4" fillId="3" borderId="1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1" xfId="0" applyFont="1" applyBorder="1"/>
    <xf numFmtId="0" fontId="6" fillId="0" borderId="1" xfId="1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49" fontId="4" fillId="6" borderId="1" xfId="0" applyNumberFormat="1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vertical="center" wrapText="1"/>
    </xf>
    <xf numFmtId="0" fontId="4" fillId="6" borderId="1" xfId="0" applyFont="1" applyFill="1" applyBorder="1" applyAlignment="1">
      <alignment horizontal="center" vertical="center"/>
    </xf>
    <xf numFmtId="43" fontId="6" fillId="6" borderId="1" xfId="1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vertical="center" wrapText="1"/>
    </xf>
    <xf numFmtId="49" fontId="4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0" xfId="0" applyFont="1" applyFill="1" applyAlignment="1">
      <alignment vertical="center"/>
    </xf>
    <xf numFmtId="0" fontId="11" fillId="2" borderId="1" xfId="0" applyFont="1" applyFill="1" applyBorder="1" applyAlignment="1">
      <alignment horizontal="center" vertical="center"/>
    </xf>
    <xf numFmtId="49" fontId="10" fillId="2" borderId="1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43" fontId="6" fillId="3" borderId="3" xfId="1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4" fillId="5" borderId="2" xfId="0" applyFont="1" applyFill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/>
    <xf numFmtId="0" fontId="3" fillId="3" borderId="6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wrapText="1"/>
    </xf>
    <xf numFmtId="0" fontId="4" fillId="0" borderId="0" xfId="0" applyFont="1" applyAlignment="1">
      <alignment horizontal="left" vertical="center" indent="1"/>
    </xf>
    <xf numFmtId="0" fontId="4" fillId="0" borderId="1" xfId="0" applyFont="1" applyBorder="1" applyAlignment="1">
      <alignment horizontal="center" vertical="center" wrapText="1"/>
    </xf>
    <xf numFmtId="0" fontId="3" fillId="5" borderId="0" xfId="0" applyFont="1" applyFill="1"/>
    <xf numFmtId="0" fontId="3" fillId="5" borderId="4" xfId="0" applyFont="1" applyFill="1" applyBorder="1" applyAlignment="1">
      <alignment horizontal="left" vertical="center" wrapText="1"/>
    </xf>
    <xf numFmtId="0" fontId="4" fillId="0" borderId="4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vertical="center"/>
    </xf>
    <xf numFmtId="0" fontId="7" fillId="0" borderId="1" xfId="0" applyFont="1" applyFill="1" applyBorder="1" applyAlignment="1">
      <alignment vertical="center" wrapText="1"/>
    </xf>
    <xf numFmtId="49" fontId="7" fillId="0" borderId="1" xfId="0" applyNumberFormat="1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8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43" fontId="6" fillId="0" borderId="3" xfId="1" applyFont="1" applyFill="1" applyBorder="1" applyAlignment="1">
      <alignment horizontal="center" vertical="center" wrapText="1"/>
    </xf>
    <xf numFmtId="43" fontId="6" fillId="0" borderId="4" xfId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indent="1"/>
    </xf>
    <xf numFmtId="0" fontId="0" fillId="0" borderId="1" xfId="0" applyBorder="1" applyAlignment="1">
      <alignment horizontal="left" vertical="center" indent="1"/>
    </xf>
    <xf numFmtId="0" fontId="4" fillId="3" borderId="2" xfId="0" applyFont="1" applyFill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top" wrapText="1"/>
    </xf>
    <xf numFmtId="4" fontId="4" fillId="0" borderId="1" xfId="0" applyNumberFormat="1" applyFont="1" applyBorder="1" applyAlignment="1">
      <alignment horizontal="right" vertical="center" wrapText="1"/>
    </xf>
    <xf numFmtId="0" fontId="7" fillId="0" borderId="0" xfId="0" applyFont="1" applyAlignment="1">
      <alignment vertical="center"/>
    </xf>
    <xf numFmtId="0" fontId="4" fillId="0" borderId="1" xfId="0" applyFont="1" applyBorder="1" applyAlignment="1">
      <alignment horizontal="left" vertical="top" wrapText="1"/>
    </xf>
    <xf numFmtId="49" fontId="10" fillId="0" borderId="1" xfId="0" applyNumberFormat="1" applyFont="1" applyBorder="1" applyAlignment="1">
      <alignment horizontal="left" vertical="top" wrapText="1"/>
    </xf>
    <xf numFmtId="0" fontId="12" fillId="0" borderId="1" xfId="0" applyFont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0" fillId="2" borderId="1" xfId="0" applyFont="1" applyFill="1" applyBorder="1" applyAlignment="1">
      <alignment horizontal="center" vertical="center" wrapText="1"/>
    </xf>
    <xf numFmtId="49" fontId="7" fillId="2" borderId="1" xfId="0" applyNumberFormat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49" fontId="10" fillId="0" borderId="1" xfId="0" applyNumberFormat="1" applyFont="1" applyBorder="1" applyAlignment="1">
      <alignment horizontal="left" vertical="center" wrapText="1"/>
    </xf>
    <xf numFmtId="49" fontId="7" fillId="0" borderId="1" xfId="0" applyNumberFormat="1" applyFont="1" applyBorder="1" applyAlignment="1">
      <alignment horizontal="left" vertical="top" wrapText="1"/>
    </xf>
    <xf numFmtId="0" fontId="15" fillId="0" borderId="1" xfId="0" applyFont="1" applyBorder="1" applyAlignment="1">
      <alignment horizontal="center" vertical="center" wrapText="1"/>
    </xf>
    <xf numFmtId="0" fontId="16" fillId="0" borderId="0" xfId="0" applyFont="1" applyAlignment="1">
      <alignment vertical="center"/>
    </xf>
    <xf numFmtId="0" fontId="4" fillId="0" borderId="3" xfId="0" applyFont="1" applyBorder="1" applyAlignment="1">
      <alignment horizontal="left" vertical="top" wrapText="1"/>
    </xf>
    <xf numFmtId="4" fontId="4" fillId="0" borderId="1" xfId="1" applyNumberFormat="1" applyFont="1" applyFill="1" applyBorder="1" applyAlignment="1">
      <alignment horizontal="right" vertical="center" wrapText="1"/>
    </xf>
    <xf numFmtId="3" fontId="4" fillId="0" borderId="0" xfId="0" applyNumberFormat="1" applyFont="1" applyAlignment="1">
      <alignment horizontal="center" vertical="center" wrapText="1"/>
    </xf>
    <xf numFmtId="3" fontId="3" fillId="4" borderId="1" xfId="0" applyNumberFormat="1" applyFont="1" applyFill="1" applyBorder="1" applyAlignment="1">
      <alignment horizontal="center" vertical="center" wrapText="1"/>
    </xf>
    <xf numFmtId="3" fontId="4" fillId="3" borderId="1" xfId="0" applyNumberFormat="1" applyFont="1" applyFill="1" applyBorder="1" applyAlignment="1">
      <alignment horizontal="right" vertical="center" wrapText="1"/>
    </xf>
    <xf numFmtId="3" fontId="4" fillId="0" borderId="1" xfId="0" applyNumberFormat="1" applyFont="1" applyBorder="1" applyAlignment="1">
      <alignment horizontal="right" vertical="center" wrapText="1"/>
    </xf>
    <xf numFmtId="3" fontId="7" fillId="0" borderId="1" xfId="0" applyNumberFormat="1" applyFont="1" applyBorder="1" applyAlignment="1">
      <alignment horizontal="right" vertical="center" wrapText="1"/>
    </xf>
    <xf numFmtId="3" fontId="4" fillId="0" borderId="1" xfId="1" applyNumberFormat="1" applyFont="1" applyFill="1" applyBorder="1" applyAlignment="1">
      <alignment horizontal="right" vertical="center" wrapText="1"/>
    </xf>
    <xf numFmtId="3" fontId="6" fillId="0" borderId="1" xfId="1" applyNumberFormat="1" applyFont="1" applyFill="1" applyBorder="1" applyAlignment="1">
      <alignment horizontal="center" vertical="center" wrapText="1"/>
    </xf>
    <xf numFmtId="3" fontId="6" fillId="3" borderId="1" xfId="0" applyNumberFormat="1" applyFont="1" applyFill="1" applyBorder="1" applyAlignment="1">
      <alignment vertical="center"/>
    </xf>
    <xf numFmtId="3" fontId="4" fillId="2" borderId="1" xfId="0" applyNumberFormat="1" applyFont="1" applyFill="1" applyBorder="1" applyAlignment="1">
      <alignment horizontal="center" vertical="center" wrapText="1"/>
    </xf>
    <xf numFmtId="3" fontId="6" fillId="3" borderId="1" xfId="1" applyNumberFormat="1" applyFont="1" applyFill="1" applyBorder="1" applyAlignment="1">
      <alignment horizontal="center" vertical="center" wrapText="1"/>
    </xf>
    <xf numFmtId="3" fontId="6" fillId="3" borderId="1" xfId="1" applyNumberFormat="1" applyFont="1" applyFill="1" applyBorder="1" applyAlignment="1">
      <alignment vertical="center" wrapText="1"/>
    </xf>
    <xf numFmtId="3" fontId="6" fillId="0" borderId="1" xfId="1" applyNumberFormat="1" applyFont="1" applyFill="1" applyBorder="1" applyAlignment="1">
      <alignment vertical="center" wrapText="1"/>
    </xf>
    <xf numFmtId="3" fontId="6" fillId="0" borderId="4" xfId="1" applyNumberFormat="1" applyFont="1" applyFill="1" applyBorder="1" applyAlignment="1">
      <alignment horizontal="center" vertical="center" wrapText="1"/>
    </xf>
    <xf numFmtId="3" fontId="6" fillId="3" borderId="3" xfId="1" applyNumberFormat="1" applyFont="1" applyFill="1" applyBorder="1" applyAlignment="1">
      <alignment vertical="center" wrapText="1"/>
    </xf>
    <xf numFmtId="3" fontId="6" fillId="3" borderId="3" xfId="1" applyNumberFormat="1" applyFont="1" applyFill="1" applyBorder="1" applyAlignment="1">
      <alignment horizontal="center" vertical="center" wrapText="1"/>
    </xf>
    <xf numFmtId="3" fontId="3" fillId="0" borderId="1" xfId="0" applyNumberFormat="1" applyFont="1" applyBorder="1" applyAlignment="1">
      <alignment horizontal="center" vertical="center" wrapText="1"/>
    </xf>
    <xf numFmtId="3" fontId="3" fillId="3" borderId="1" xfId="0" applyNumberFormat="1" applyFont="1" applyFill="1" applyBorder="1" applyAlignment="1">
      <alignment horizontal="center" vertical="center" wrapText="1"/>
    </xf>
    <xf numFmtId="3" fontId="3" fillId="0" borderId="1" xfId="0" applyNumberFormat="1" applyFont="1" applyFill="1" applyBorder="1" applyAlignment="1">
      <alignment horizontal="center" vertical="center" wrapText="1"/>
    </xf>
    <xf numFmtId="3" fontId="3" fillId="0" borderId="9" xfId="0" applyNumberFormat="1" applyFont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center" vertical="center" wrapText="1"/>
    </xf>
    <xf numFmtId="3" fontId="3" fillId="3" borderId="6" xfId="0" applyNumberFormat="1" applyFont="1" applyFill="1" applyBorder="1" applyAlignment="1">
      <alignment horizontal="center" vertical="center" wrapText="1"/>
    </xf>
    <xf numFmtId="3" fontId="6" fillId="6" borderId="1" xfId="1" applyNumberFormat="1" applyFont="1" applyFill="1" applyBorder="1" applyAlignment="1">
      <alignment horizontal="center" vertical="center" wrapText="1"/>
    </xf>
    <xf numFmtId="3" fontId="6" fillId="0" borderId="1" xfId="0" applyNumberFormat="1" applyFont="1" applyBorder="1" applyAlignment="1">
      <alignment horizontal="center" vertical="center" wrapText="1"/>
    </xf>
    <xf numFmtId="3" fontId="3" fillId="0" borderId="1" xfId="0" applyNumberFormat="1" applyFont="1" applyBorder="1" applyAlignment="1">
      <alignment horizontal="center" vertical="center"/>
    </xf>
    <xf numFmtId="3" fontId="4" fillId="0" borderId="0" xfId="0" applyNumberFormat="1" applyFont="1" applyAlignment="1">
      <alignment horizontal="right" vertical="center" wrapText="1"/>
    </xf>
    <xf numFmtId="3" fontId="4" fillId="2" borderId="1" xfId="0" applyNumberFormat="1" applyFont="1" applyFill="1" applyBorder="1" applyAlignment="1">
      <alignment horizontal="right" vertical="center" wrapText="1"/>
    </xf>
    <xf numFmtId="3" fontId="3" fillId="0" borderId="1" xfId="1" applyNumberFormat="1" applyFont="1" applyFill="1" applyBorder="1" applyAlignment="1">
      <alignment vertical="center" wrapText="1"/>
    </xf>
    <xf numFmtId="3" fontId="6" fillId="2" borderId="4" xfId="1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3" fontId="4" fillId="0" borderId="1" xfId="1" applyNumberFormat="1" applyFont="1" applyFill="1" applyBorder="1" applyAlignment="1">
      <alignment horizontal="center" vertical="center" wrapText="1"/>
    </xf>
    <xf numFmtId="3" fontId="4" fillId="3" borderId="1" xfId="1" applyNumberFormat="1" applyFont="1" applyFill="1" applyBorder="1" applyAlignment="1">
      <alignment vertical="center" wrapText="1"/>
    </xf>
    <xf numFmtId="3" fontId="4" fillId="0" borderId="4" xfId="1" applyNumberFormat="1" applyFont="1" applyFill="1" applyBorder="1" applyAlignment="1">
      <alignment horizontal="right" vertical="center" wrapText="1"/>
    </xf>
    <xf numFmtId="3" fontId="14" fillId="0" borderId="1" xfId="1" applyNumberFormat="1" applyFont="1" applyFill="1" applyBorder="1" applyAlignment="1">
      <alignment horizontal="center" vertical="center" wrapText="1"/>
    </xf>
    <xf numFmtId="4" fontId="4" fillId="0" borderId="4" xfId="1" applyNumberFormat="1" applyFont="1" applyFill="1" applyBorder="1" applyAlignment="1">
      <alignment horizontal="right" vertical="center" wrapText="1"/>
    </xf>
    <xf numFmtId="4" fontId="4" fillId="2" borderId="4" xfId="1" applyNumberFormat="1" applyFont="1" applyFill="1" applyBorder="1" applyAlignment="1">
      <alignment horizontal="right" vertical="center" wrapText="1"/>
    </xf>
    <xf numFmtId="3" fontId="4" fillId="0" borderId="1" xfId="0" applyNumberFormat="1" applyFont="1" applyBorder="1" applyAlignment="1">
      <alignment vertical="center"/>
    </xf>
    <xf numFmtId="3" fontId="4" fillId="2" borderId="4" xfId="1" applyNumberFormat="1" applyFont="1" applyFill="1" applyBorder="1" applyAlignment="1">
      <alignment horizontal="right" vertical="center" wrapText="1"/>
    </xf>
    <xf numFmtId="3" fontId="4" fillId="0" borderId="4" xfId="0" applyNumberFormat="1" applyFont="1" applyBorder="1" applyAlignment="1">
      <alignment horizontal="center" vertical="center" wrapText="1"/>
    </xf>
    <xf numFmtId="3" fontId="4" fillId="0" borderId="4" xfId="0" applyNumberFormat="1" applyFont="1" applyBorder="1" applyAlignment="1">
      <alignment horizontal="right" vertical="center" wrapText="1"/>
    </xf>
    <xf numFmtId="3" fontId="4" fillId="0" borderId="1" xfId="0" applyNumberFormat="1" applyFont="1" applyFill="1" applyBorder="1" applyAlignment="1">
      <alignment horizontal="right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4" xfId="0" applyFont="1" applyBorder="1" applyAlignment="1">
      <alignment vertical="center" wrapText="1"/>
    </xf>
    <xf numFmtId="3" fontId="4" fillId="0" borderId="1" xfId="0" applyNumberFormat="1" applyFont="1" applyBorder="1" applyAlignment="1">
      <alignment horizontal="right" vertical="center"/>
    </xf>
    <xf numFmtId="3" fontId="7" fillId="0" borderId="1" xfId="0" applyNumberFormat="1" applyFont="1" applyBorder="1" applyAlignment="1">
      <alignment vertical="center"/>
    </xf>
    <xf numFmtId="0" fontId="7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3" fontId="4" fillId="0" borderId="1" xfId="0" applyNumberFormat="1" applyFont="1" applyBorder="1" applyAlignment="1">
      <alignment horizontal="right" vertical="center"/>
    </xf>
    <xf numFmtId="3" fontId="7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3" fontId="4" fillId="0" borderId="1" xfId="1" applyNumberFormat="1" applyFont="1" applyFill="1" applyBorder="1" applyAlignment="1">
      <alignment vertical="center" wrapText="1"/>
    </xf>
    <xf numFmtId="165" fontId="4" fillId="0" borderId="1" xfId="0" applyNumberFormat="1" applyFont="1" applyBorder="1" applyAlignment="1">
      <alignment horizontal="center" vertical="center" wrapText="1"/>
    </xf>
    <xf numFmtId="165" fontId="4" fillId="0" borderId="1" xfId="0" applyNumberFormat="1" applyFont="1" applyBorder="1" applyAlignment="1">
      <alignment vertical="center"/>
    </xf>
    <xf numFmtId="43" fontId="4" fillId="0" borderId="1" xfId="0" applyNumberFormat="1" applyFont="1" applyBorder="1" applyAlignment="1">
      <alignment vertical="center"/>
    </xf>
    <xf numFmtId="3" fontId="7" fillId="0" borderId="3" xfId="0" applyNumberFormat="1" applyFont="1" applyBorder="1" applyAlignment="1">
      <alignment horizontal="center" vertical="center"/>
    </xf>
    <xf numFmtId="3" fontId="7" fillId="0" borderId="5" xfId="0" applyNumberFormat="1" applyFont="1" applyBorder="1" applyAlignment="1">
      <alignment horizontal="center" vertical="center"/>
    </xf>
    <xf numFmtId="3" fontId="7" fillId="0" borderId="4" xfId="0" applyNumberFormat="1" applyFont="1" applyBorder="1" applyAlignment="1">
      <alignment horizontal="center" vertical="center"/>
    </xf>
    <xf numFmtId="43" fontId="4" fillId="0" borderId="3" xfId="1" applyFont="1" applyFill="1" applyBorder="1" applyAlignment="1">
      <alignment horizontal="center" vertical="center" wrapText="1"/>
    </xf>
    <xf numFmtId="43" fontId="4" fillId="0" borderId="4" xfId="1" applyFont="1" applyFill="1" applyBorder="1" applyAlignment="1">
      <alignment horizontal="center" vertical="center" wrapText="1"/>
    </xf>
    <xf numFmtId="3" fontId="4" fillId="0" borderId="3" xfId="0" applyNumberFormat="1" applyFont="1" applyBorder="1" applyAlignment="1">
      <alignment horizontal="center" vertical="center" wrapText="1"/>
    </xf>
    <xf numFmtId="3" fontId="4" fillId="0" borderId="5" xfId="0" applyNumberFormat="1" applyFont="1" applyBorder="1" applyAlignment="1">
      <alignment horizontal="center" vertical="center" wrapText="1"/>
    </xf>
    <xf numFmtId="3" fontId="4" fillId="0" borderId="4" xfId="0" applyNumberFormat="1" applyFont="1" applyBorder="1" applyAlignment="1">
      <alignment horizontal="center" vertical="center" wrapText="1"/>
    </xf>
    <xf numFmtId="3" fontId="4" fillId="0" borderId="3" xfId="1" applyNumberFormat="1" applyFont="1" applyFill="1" applyBorder="1" applyAlignment="1">
      <alignment horizontal="center" vertical="center" wrapText="1"/>
    </xf>
    <xf numFmtId="3" fontId="4" fillId="0" borderId="5" xfId="1" applyNumberFormat="1" applyFont="1" applyFill="1" applyBorder="1" applyAlignment="1">
      <alignment horizontal="center" vertical="center" wrapText="1"/>
    </xf>
    <xf numFmtId="3" fontId="4" fillId="0" borderId="4" xfId="1" applyNumberFormat="1" applyFont="1" applyFill="1" applyBorder="1" applyAlignment="1">
      <alignment horizontal="center" vertical="center" wrapText="1"/>
    </xf>
    <xf numFmtId="43" fontId="4" fillId="0" borderId="5" xfId="1" applyFont="1" applyFill="1" applyBorder="1" applyAlignment="1">
      <alignment horizontal="center" vertical="center" wrapText="1"/>
    </xf>
    <xf numFmtId="3" fontId="4" fillId="0" borderId="3" xfId="1" applyNumberFormat="1" applyFont="1" applyFill="1" applyBorder="1" applyAlignment="1">
      <alignment horizontal="right" vertical="center" wrapText="1"/>
    </xf>
    <xf numFmtId="3" fontId="4" fillId="0" borderId="5" xfId="1" applyNumberFormat="1" applyFont="1" applyFill="1" applyBorder="1" applyAlignment="1">
      <alignment horizontal="right" vertical="center" wrapText="1"/>
    </xf>
    <xf numFmtId="3" fontId="4" fillId="0" borderId="4" xfId="1" applyNumberFormat="1" applyFont="1" applyFill="1" applyBorder="1" applyAlignment="1">
      <alignment horizontal="right" vertical="center" wrapText="1"/>
    </xf>
    <xf numFmtId="43" fontId="6" fillId="0" borderId="3" xfId="1" applyFont="1" applyFill="1" applyBorder="1" applyAlignment="1">
      <alignment horizontal="center" vertical="center" wrapText="1"/>
    </xf>
    <xf numFmtId="43" fontId="6" fillId="0" borderId="5" xfId="1" applyFont="1" applyFill="1" applyBorder="1" applyAlignment="1">
      <alignment horizontal="center" vertical="center" wrapText="1"/>
    </xf>
    <xf numFmtId="43" fontId="6" fillId="0" borderId="4" xfId="1" applyFont="1" applyFill="1" applyBorder="1" applyAlignment="1">
      <alignment horizontal="center" vertical="center" wrapText="1"/>
    </xf>
    <xf numFmtId="165" fontId="4" fillId="0" borderId="3" xfId="0" applyNumberFormat="1" applyFont="1" applyBorder="1" applyAlignment="1">
      <alignment horizontal="center" vertical="center" wrapText="1"/>
    </xf>
    <xf numFmtId="165" fontId="4" fillId="0" borderId="4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3" fontId="4" fillId="2" borderId="3" xfId="0" applyNumberFormat="1" applyFont="1" applyFill="1" applyBorder="1" applyAlignment="1">
      <alignment horizontal="center" vertical="center" wrapText="1"/>
    </xf>
    <xf numFmtId="3" fontId="4" fillId="2" borderId="5" xfId="0" applyNumberFormat="1" applyFont="1" applyFill="1" applyBorder="1" applyAlignment="1">
      <alignment horizontal="center" vertical="center" wrapText="1"/>
    </xf>
    <xf numFmtId="3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49" fontId="3" fillId="0" borderId="2" xfId="0" applyNumberFormat="1" applyFont="1" applyBorder="1" applyAlignment="1">
      <alignment horizontal="right" vertical="center" wrapText="1"/>
    </xf>
    <xf numFmtId="49" fontId="3" fillId="0" borderId="6" xfId="0" applyNumberFormat="1" applyFont="1" applyBorder="1" applyAlignment="1">
      <alignment horizontal="right" vertical="center" wrapText="1"/>
    </xf>
    <xf numFmtId="49" fontId="3" fillId="0" borderId="7" xfId="0" applyNumberFormat="1" applyFont="1" applyBorder="1" applyAlignment="1">
      <alignment horizontal="right" vertical="center" wrapText="1"/>
    </xf>
    <xf numFmtId="4" fontId="3" fillId="0" borderId="2" xfId="0" applyNumberFormat="1" applyFont="1" applyBorder="1" applyAlignment="1">
      <alignment horizontal="right" vertical="center" wrapText="1"/>
    </xf>
    <xf numFmtId="4" fontId="3" fillId="0" borderId="6" xfId="0" applyNumberFormat="1" applyFont="1" applyBorder="1" applyAlignment="1">
      <alignment horizontal="right" vertical="center" wrapText="1"/>
    </xf>
    <xf numFmtId="4" fontId="3" fillId="0" borderId="7" xfId="0" applyNumberFormat="1" applyFont="1" applyBorder="1" applyAlignment="1">
      <alignment horizontal="righ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165" fontId="4" fillId="0" borderId="5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3" fontId="7" fillId="0" borderId="1" xfId="0" applyNumberFormat="1" applyFont="1" applyBorder="1" applyAlignment="1">
      <alignment horizontal="right" vertical="center"/>
    </xf>
  </cellXfs>
  <cellStyles count="4">
    <cellStyle name="Обычный" xfId="0" builtinId="0"/>
    <cellStyle name="Обычный 2" xfId="3"/>
    <cellStyle name="Финансовый" xfId="1" builtinId="3"/>
    <cellStyle name="Финансовый 2" xfId="2"/>
  </cellStyles>
  <dxfs count="0"/>
  <tableStyles count="0" defaultTableStyle="TableStyleMedium9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/>
  <dimension ref="A1:J304"/>
  <sheetViews>
    <sheetView tabSelected="1" topLeftCell="A184" zoomScale="115" zoomScaleNormal="115" zoomScaleSheetLayoutView="100" workbookViewId="0">
      <selection activeCell="H170" sqref="H170:H229"/>
    </sheetView>
  </sheetViews>
  <sheetFormatPr defaultColWidth="9.140625" defaultRowHeight="15.75" x14ac:dyDescent="0.2"/>
  <cols>
    <col min="1" max="1" width="13.42578125" style="7" customWidth="1"/>
    <col min="2" max="2" width="83.5703125" style="12" customWidth="1"/>
    <col min="3" max="4" width="12.5703125" style="13" customWidth="1"/>
    <col min="5" max="5" width="11.7109375" style="158" hidden="1" customWidth="1"/>
    <col min="6" max="6" width="13.28515625" style="134" customWidth="1"/>
    <col min="7" max="7" width="15.85546875" style="134" customWidth="1"/>
    <col min="8" max="8" width="24.28515625" style="6" customWidth="1"/>
    <col min="9" max="9" width="3.85546875" style="9" customWidth="1"/>
    <col min="10" max="10" width="19" style="9" customWidth="1"/>
    <col min="11" max="16384" width="9.140625" style="9"/>
  </cols>
  <sheetData>
    <row r="1" spans="1:10" s="4" customFormat="1" x14ac:dyDescent="0.2">
      <c r="A1" s="208" t="s">
        <v>87</v>
      </c>
      <c r="B1" s="208"/>
      <c r="C1" s="208"/>
      <c r="D1" s="208"/>
      <c r="E1" s="208"/>
      <c r="F1" s="208"/>
      <c r="G1" s="208"/>
      <c r="H1" s="208"/>
    </row>
    <row r="2" spans="1:10" s="5" customFormat="1" x14ac:dyDescent="0.2">
      <c r="A2" s="3"/>
      <c r="B2" s="209" t="s">
        <v>32</v>
      </c>
      <c r="C2" s="209"/>
      <c r="D2" s="209"/>
      <c r="E2" s="209"/>
      <c r="F2" s="209"/>
      <c r="G2" s="209"/>
      <c r="H2" s="209"/>
    </row>
    <row r="3" spans="1:10" s="5" customFormat="1" x14ac:dyDescent="0.2">
      <c r="A3" s="3"/>
      <c r="B3" s="210" t="s">
        <v>33</v>
      </c>
      <c r="C3" s="210"/>
      <c r="D3" s="210"/>
      <c r="E3" s="210"/>
      <c r="F3" s="210"/>
      <c r="G3" s="210"/>
      <c r="H3" s="210"/>
    </row>
    <row r="4" spans="1:10" s="5" customFormat="1" x14ac:dyDescent="0.2">
      <c r="A4" s="3"/>
      <c r="B4" s="209" t="s">
        <v>82</v>
      </c>
      <c r="C4" s="209"/>
      <c r="D4" s="209"/>
      <c r="E4" s="209"/>
      <c r="F4" s="209"/>
      <c r="G4" s="209"/>
      <c r="H4" s="209"/>
    </row>
    <row r="5" spans="1:10" s="4" customFormat="1" x14ac:dyDescent="0.2">
      <c r="A5" s="7"/>
      <c r="B5" s="8"/>
      <c r="C5" s="8"/>
      <c r="D5" s="8"/>
      <c r="E5" s="158"/>
      <c r="F5" s="134"/>
      <c r="G5" s="134"/>
      <c r="H5" s="6"/>
    </row>
    <row r="6" spans="1:10" ht="47.25" x14ac:dyDescent="0.2">
      <c r="A6" s="47" t="s">
        <v>0</v>
      </c>
      <c r="B6" s="49" t="s">
        <v>1</v>
      </c>
      <c r="C6" s="49" t="s">
        <v>146</v>
      </c>
      <c r="D6" s="49" t="s">
        <v>2</v>
      </c>
      <c r="E6" s="135" t="s">
        <v>423</v>
      </c>
      <c r="F6" s="135" t="s">
        <v>3</v>
      </c>
      <c r="G6" s="135" t="s">
        <v>4</v>
      </c>
      <c r="H6" s="50" t="s">
        <v>116</v>
      </c>
      <c r="J6" s="81" t="s">
        <v>432</v>
      </c>
    </row>
    <row r="7" spans="1:10" x14ac:dyDescent="0.2">
      <c r="A7" s="86">
        <v>1</v>
      </c>
      <c r="B7" s="25" t="s">
        <v>81</v>
      </c>
      <c r="C7" s="42"/>
      <c r="D7" s="26"/>
      <c r="E7" s="136"/>
      <c r="F7" s="136"/>
      <c r="G7" s="136"/>
      <c r="H7" s="24"/>
      <c r="J7" s="162"/>
    </row>
    <row r="8" spans="1:10" s="120" customFormat="1" x14ac:dyDescent="0.2">
      <c r="A8" s="117" t="s">
        <v>147</v>
      </c>
      <c r="B8" s="118" t="s">
        <v>81</v>
      </c>
      <c r="C8" s="39" t="s">
        <v>5</v>
      </c>
      <c r="D8" s="39">
        <v>1</v>
      </c>
      <c r="E8" s="137">
        <v>3000</v>
      </c>
      <c r="F8" s="137">
        <f t="shared" ref="F8:F26" si="0">E8*510</f>
        <v>1530000</v>
      </c>
      <c r="G8" s="137">
        <f t="shared" ref="G8:G26" si="1">D8*F8</f>
        <v>1530000</v>
      </c>
      <c r="H8" s="15"/>
      <c r="J8" s="177">
        <f>G8</f>
        <v>1530000</v>
      </c>
    </row>
    <row r="9" spans="1:10" ht="31.5" x14ac:dyDescent="0.2">
      <c r="A9" s="62" t="s">
        <v>225</v>
      </c>
      <c r="B9" s="121" t="s">
        <v>413</v>
      </c>
      <c r="C9" s="21" t="s">
        <v>5</v>
      </c>
      <c r="D9" s="21">
        <v>1</v>
      </c>
      <c r="E9" s="137">
        <v>75000</v>
      </c>
      <c r="F9" s="137">
        <f t="shared" si="0"/>
        <v>38250000</v>
      </c>
      <c r="G9" s="137">
        <f t="shared" si="1"/>
        <v>38250000</v>
      </c>
      <c r="H9" s="15"/>
      <c r="J9" s="177">
        <f t="shared" ref="J9:J18" si="2">G9</f>
        <v>38250000</v>
      </c>
    </row>
    <row r="10" spans="1:10" x14ac:dyDescent="0.2">
      <c r="A10" s="62" t="s">
        <v>226</v>
      </c>
      <c r="B10" s="121" t="s">
        <v>212</v>
      </c>
      <c r="C10" s="21" t="s">
        <v>213</v>
      </c>
      <c r="D10" s="21">
        <v>1</v>
      </c>
      <c r="E10" s="137">
        <v>300</v>
      </c>
      <c r="F10" s="137">
        <f t="shared" si="0"/>
        <v>153000</v>
      </c>
      <c r="G10" s="137">
        <f t="shared" si="1"/>
        <v>153000</v>
      </c>
      <c r="H10" s="15"/>
      <c r="J10" s="177">
        <f t="shared" si="2"/>
        <v>153000</v>
      </c>
    </row>
    <row r="11" spans="1:10" x14ac:dyDescent="0.2">
      <c r="A11" s="62" t="s">
        <v>227</v>
      </c>
      <c r="B11" s="121" t="s">
        <v>414</v>
      </c>
      <c r="C11" s="21" t="s">
        <v>213</v>
      </c>
      <c r="D11" s="21">
        <v>14</v>
      </c>
      <c r="E11" s="137">
        <v>600</v>
      </c>
      <c r="F11" s="137">
        <f t="shared" si="0"/>
        <v>306000</v>
      </c>
      <c r="G11" s="137">
        <f t="shared" si="1"/>
        <v>4284000</v>
      </c>
      <c r="H11" s="15"/>
      <c r="J11" s="177">
        <f t="shared" si="2"/>
        <v>4284000</v>
      </c>
    </row>
    <row r="12" spans="1:10" x14ac:dyDescent="0.2">
      <c r="A12" s="62" t="s">
        <v>228</v>
      </c>
      <c r="B12" s="121" t="s">
        <v>415</v>
      </c>
      <c r="C12" s="21" t="s">
        <v>214</v>
      </c>
      <c r="D12" s="21">
        <v>30</v>
      </c>
      <c r="E12" s="137">
        <v>100</v>
      </c>
      <c r="F12" s="137">
        <f t="shared" si="0"/>
        <v>51000</v>
      </c>
      <c r="G12" s="137">
        <f t="shared" si="1"/>
        <v>1530000</v>
      </c>
      <c r="H12" s="15"/>
      <c r="J12" s="177">
        <f t="shared" si="2"/>
        <v>1530000</v>
      </c>
    </row>
    <row r="13" spans="1:10" x14ac:dyDescent="0.2">
      <c r="A13" s="62" t="s">
        <v>229</v>
      </c>
      <c r="B13" s="121" t="s">
        <v>215</v>
      </c>
      <c r="C13" s="73" t="s">
        <v>90</v>
      </c>
      <c r="D13" s="21">
        <v>500</v>
      </c>
      <c r="E13" s="137">
        <v>20</v>
      </c>
      <c r="F13" s="137">
        <f t="shared" si="0"/>
        <v>10200</v>
      </c>
      <c r="G13" s="137">
        <f t="shared" si="1"/>
        <v>5100000</v>
      </c>
      <c r="H13" s="15"/>
      <c r="J13" s="177">
        <f t="shared" si="2"/>
        <v>5100000</v>
      </c>
    </row>
    <row r="14" spans="1:10" x14ac:dyDescent="0.2">
      <c r="A14" s="62" t="s">
        <v>230</v>
      </c>
      <c r="B14" s="121" t="s">
        <v>416</v>
      </c>
      <c r="C14" s="21" t="s">
        <v>214</v>
      </c>
      <c r="D14" s="72">
        <v>1</v>
      </c>
      <c r="E14" s="137">
        <v>250</v>
      </c>
      <c r="F14" s="137">
        <f t="shared" si="0"/>
        <v>127500</v>
      </c>
      <c r="G14" s="137">
        <f t="shared" si="1"/>
        <v>127500</v>
      </c>
      <c r="H14" s="15"/>
      <c r="J14" s="177">
        <f t="shared" si="2"/>
        <v>127500</v>
      </c>
    </row>
    <row r="15" spans="1:10" s="124" customFormat="1" x14ac:dyDescent="0.2">
      <c r="A15" s="117" t="s">
        <v>231</v>
      </c>
      <c r="B15" s="122" t="s">
        <v>417</v>
      </c>
      <c r="C15" s="73" t="s">
        <v>5</v>
      </c>
      <c r="D15" s="21">
        <v>1</v>
      </c>
      <c r="E15" s="137">
        <v>100</v>
      </c>
      <c r="F15" s="137">
        <f t="shared" si="0"/>
        <v>51000</v>
      </c>
      <c r="G15" s="137">
        <f t="shared" si="1"/>
        <v>51000</v>
      </c>
      <c r="H15" s="123"/>
      <c r="J15" s="177">
        <f t="shared" si="2"/>
        <v>51000</v>
      </c>
    </row>
    <row r="16" spans="1:10" x14ac:dyDescent="0.2">
      <c r="A16" s="62" t="s">
        <v>232</v>
      </c>
      <c r="B16" s="122" t="s">
        <v>418</v>
      </c>
      <c r="C16" s="73" t="s">
        <v>213</v>
      </c>
      <c r="D16" s="21">
        <v>14</v>
      </c>
      <c r="E16" s="137">
        <v>50</v>
      </c>
      <c r="F16" s="137">
        <f t="shared" si="0"/>
        <v>25500</v>
      </c>
      <c r="G16" s="137">
        <f t="shared" si="1"/>
        <v>357000</v>
      </c>
      <c r="H16" s="15"/>
      <c r="J16" s="177">
        <f t="shared" si="2"/>
        <v>357000</v>
      </c>
    </row>
    <row r="17" spans="1:10" x14ac:dyDescent="0.2">
      <c r="A17" s="62" t="s">
        <v>233</v>
      </c>
      <c r="B17" s="121" t="s">
        <v>216</v>
      </c>
      <c r="C17" s="73" t="s">
        <v>433</v>
      </c>
      <c r="D17" s="125">
        <v>1</v>
      </c>
      <c r="E17" s="137">
        <v>50</v>
      </c>
      <c r="F17" s="137">
        <f t="shared" si="0"/>
        <v>25500</v>
      </c>
      <c r="G17" s="137">
        <f t="shared" si="1"/>
        <v>25500</v>
      </c>
      <c r="H17" s="15"/>
      <c r="J17" s="177">
        <f t="shared" si="2"/>
        <v>25500</v>
      </c>
    </row>
    <row r="18" spans="1:10" x14ac:dyDescent="0.2">
      <c r="A18" s="62" t="s">
        <v>234</v>
      </c>
      <c r="B18" s="118" t="s">
        <v>419</v>
      </c>
      <c r="C18" s="126" t="s">
        <v>433</v>
      </c>
      <c r="D18" s="127">
        <v>1</v>
      </c>
      <c r="E18" s="137">
        <v>100</v>
      </c>
      <c r="F18" s="137">
        <f t="shared" si="0"/>
        <v>51000</v>
      </c>
      <c r="G18" s="137">
        <f t="shared" si="1"/>
        <v>51000</v>
      </c>
      <c r="H18" s="15"/>
      <c r="J18" s="177">
        <f t="shared" si="2"/>
        <v>51000</v>
      </c>
    </row>
    <row r="19" spans="1:10" ht="63" x14ac:dyDescent="0.2">
      <c r="A19" s="62" t="s">
        <v>420</v>
      </c>
      <c r="B19" s="128" t="s">
        <v>217</v>
      </c>
      <c r="C19" s="73" t="s">
        <v>218</v>
      </c>
      <c r="D19" s="125">
        <v>15000</v>
      </c>
      <c r="E19" s="137">
        <v>0.1</v>
      </c>
      <c r="F19" s="137">
        <f t="shared" si="0"/>
        <v>51</v>
      </c>
      <c r="G19" s="137">
        <f t="shared" si="1"/>
        <v>765000</v>
      </c>
      <c r="H19" s="183" t="s">
        <v>449</v>
      </c>
      <c r="J19" s="162"/>
    </row>
    <row r="20" spans="1:10" s="120" customFormat="1" x14ac:dyDescent="0.2">
      <c r="A20" s="117" t="s">
        <v>235</v>
      </c>
      <c r="B20" s="129" t="s">
        <v>421</v>
      </c>
      <c r="C20" s="117" t="s">
        <v>219</v>
      </c>
      <c r="D20" s="39">
        <v>0</v>
      </c>
      <c r="E20" s="138">
        <v>400</v>
      </c>
      <c r="F20" s="138">
        <f t="shared" si="0"/>
        <v>204000</v>
      </c>
      <c r="G20" s="138">
        <f t="shared" si="1"/>
        <v>0</v>
      </c>
      <c r="H20" s="107"/>
      <c r="J20" s="178"/>
    </row>
    <row r="21" spans="1:10" x14ac:dyDescent="0.2">
      <c r="A21" s="62" t="s">
        <v>236</v>
      </c>
      <c r="B21" s="129" t="s">
        <v>422</v>
      </c>
      <c r="C21" s="126"/>
      <c r="D21" s="127">
        <v>1</v>
      </c>
      <c r="E21" s="137">
        <v>70</v>
      </c>
      <c r="F21" s="137">
        <f t="shared" si="0"/>
        <v>35700</v>
      </c>
      <c r="G21" s="137">
        <f t="shared" si="1"/>
        <v>35700</v>
      </c>
      <c r="H21" s="15"/>
      <c r="J21" s="177">
        <f>G21</f>
        <v>35700</v>
      </c>
    </row>
    <row r="22" spans="1:10" s="124" customFormat="1" x14ac:dyDescent="0.2">
      <c r="A22" s="117" t="s">
        <v>237</v>
      </c>
      <c r="B22" s="129" t="s">
        <v>220</v>
      </c>
      <c r="C22" s="126" t="s">
        <v>90</v>
      </c>
      <c r="D22" s="127">
        <v>30</v>
      </c>
      <c r="E22" s="138">
        <v>18</v>
      </c>
      <c r="F22" s="138">
        <f t="shared" si="0"/>
        <v>9180</v>
      </c>
      <c r="G22" s="138">
        <f t="shared" si="1"/>
        <v>275400</v>
      </c>
      <c r="H22" s="130"/>
      <c r="J22" s="177">
        <f t="shared" ref="J22:J25" si="3">G22</f>
        <v>275400</v>
      </c>
    </row>
    <row r="23" spans="1:10" s="120" customFormat="1" x14ac:dyDescent="0.2">
      <c r="A23" s="117" t="s">
        <v>238</v>
      </c>
      <c r="B23" s="129" t="s">
        <v>221</v>
      </c>
      <c r="C23" s="126" t="s">
        <v>90</v>
      </c>
      <c r="D23" s="127">
        <v>50</v>
      </c>
      <c r="E23" s="138">
        <v>20</v>
      </c>
      <c r="F23" s="138">
        <f t="shared" si="0"/>
        <v>10200</v>
      </c>
      <c r="G23" s="138">
        <f t="shared" si="1"/>
        <v>510000</v>
      </c>
      <c r="H23" s="130"/>
      <c r="J23" s="177">
        <f t="shared" si="3"/>
        <v>510000</v>
      </c>
    </row>
    <row r="24" spans="1:10" s="131" customFormat="1" x14ac:dyDescent="0.2">
      <c r="A24" s="117" t="s">
        <v>239</v>
      </c>
      <c r="B24" s="122" t="s">
        <v>222</v>
      </c>
      <c r="C24" s="73" t="s">
        <v>223</v>
      </c>
      <c r="D24" s="125">
        <v>15</v>
      </c>
      <c r="E24" s="137">
        <v>140</v>
      </c>
      <c r="F24" s="137">
        <f t="shared" si="0"/>
        <v>71400</v>
      </c>
      <c r="G24" s="137">
        <f t="shared" si="1"/>
        <v>1071000</v>
      </c>
      <c r="H24" s="15"/>
      <c r="J24" s="177">
        <f t="shared" si="3"/>
        <v>1071000</v>
      </c>
    </row>
    <row r="25" spans="1:10" s="131" customFormat="1" x14ac:dyDescent="0.2">
      <c r="A25" s="117" t="s">
        <v>240</v>
      </c>
      <c r="B25" s="132" t="s">
        <v>224</v>
      </c>
      <c r="C25" s="74" t="s">
        <v>214</v>
      </c>
      <c r="D25" s="74">
        <v>20</v>
      </c>
      <c r="E25" s="137">
        <v>350</v>
      </c>
      <c r="F25" s="137">
        <f t="shared" si="0"/>
        <v>178500</v>
      </c>
      <c r="G25" s="137">
        <f t="shared" si="1"/>
        <v>3570000</v>
      </c>
      <c r="H25" s="15"/>
      <c r="J25" s="177">
        <f t="shared" si="3"/>
        <v>3570000</v>
      </c>
    </row>
    <row r="26" spans="1:10" ht="31.5" x14ac:dyDescent="0.2">
      <c r="A26" s="62" t="s">
        <v>241</v>
      </c>
      <c r="B26" s="2" t="s">
        <v>117</v>
      </c>
      <c r="C26" s="107" t="s">
        <v>5</v>
      </c>
      <c r="D26" s="107">
        <v>1</v>
      </c>
      <c r="E26" s="139">
        <v>3500</v>
      </c>
      <c r="F26" s="139">
        <f t="shared" si="0"/>
        <v>1785000</v>
      </c>
      <c r="G26" s="137">
        <f t="shared" si="1"/>
        <v>1785000</v>
      </c>
      <c r="H26" s="15"/>
      <c r="J26" s="162"/>
    </row>
    <row r="27" spans="1:10" x14ac:dyDescent="0.2">
      <c r="A27" s="69"/>
      <c r="B27" s="79"/>
      <c r="C27" s="35"/>
      <c r="D27" s="35"/>
      <c r="E27" s="140"/>
      <c r="F27" s="140"/>
      <c r="G27" s="140"/>
      <c r="H27" s="18"/>
      <c r="J27" s="162"/>
    </row>
    <row r="28" spans="1:10" s="16" customFormat="1" x14ac:dyDescent="0.2">
      <c r="A28" s="54">
        <v>2</v>
      </c>
      <c r="B28" s="28" t="s">
        <v>100</v>
      </c>
      <c r="C28" s="29" t="s">
        <v>26</v>
      </c>
      <c r="D28" s="24">
        <v>6</v>
      </c>
      <c r="E28" s="141"/>
      <c r="F28" s="141"/>
      <c r="G28" s="141"/>
      <c r="H28" s="36"/>
      <c r="J28" s="179"/>
    </row>
    <row r="29" spans="1:10" ht="31.5" x14ac:dyDescent="0.2">
      <c r="A29" s="43" t="s">
        <v>9</v>
      </c>
      <c r="B29" s="79" t="s">
        <v>118</v>
      </c>
      <c r="C29" s="21" t="s">
        <v>14</v>
      </c>
      <c r="D29" s="21">
        <v>6</v>
      </c>
      <c r="E29" s="211">
        <v>3500</v>
      </c>
      <c r="F29" s="211">
        <f>E29*510</f>
        <v>1785000</v>
      </c>
      <c r="G29" s="211">
        <f t="shared" ref="G29:G39" si="4">D29*F29</f>
        <v>10710000</v>
      </c>
      <c r="H29" s="214"/>
      <c r="J29" s="231">
        <f>G29</f>
        <v>10710000</v>
      </c>
    </row>
    <row r="30" spans="1:10" ht="31.5" x14ac:dyDescent="0.2">
      <c r="A30" s="43" t="s">
        <v>70</v>
      </c>
      <c r="B30" s="79" t="s">
        <v>120</v>
      </c>
      <c r="C30" s="21" t="s">
        <v>14</v>
      </c>
      <c r="D30" s="21">
        <v>6</v>
      </c>
      <c r="E30" s="212"/>
      <c r="F30" s="212"/>
      <c r="G30" s="212"/>
      <c r="H30" s="215"/>
      <c r="J30" s="231"/>
    </row>
    <row r="31" spans="1:10" ht="31.5" x14ac:dyDescent="0.2">
      <c r="A31" s="43" t="s">
        <v>71</v>
      </c>
      <c r="B31" s="79" t="s">
        <v>119</v>
      </c>
      <c r="C31" s="21" t="s">
        <v>14</v>
      </c>
      <c r="D31" s="21">
        <v>6</v>
      </c>
      <c r="E31" s="212"/>
      <c r="F31" s="212"/>
      <c r="G31" s="212"/>
      <c r="H31" s="215"/>
      <c r="J31" s="231"/>
    </row>
    <row r="32" spans="1:10" ht="47.25" x14ac:dyDescent="0.2">
      <c r="A32" s="43" t="s">
        <v>72</v>
      </c>
      <c r="B32" s="79" t="s">
        <v>122</v>
      </c>
      <c r="C32" s="21" t="s">
        <v>14</v>
      </c>
      <c r="D32" s="21">
        <v>6</v>
      </c>
      <c r="E32" s="212"/>
      <c r="F32" s="212"/>
      <c r="G32" s="212"/>
      <c r="H32" s="215"/>
      <c r="J32" s="231"/>
    </row>
    <row r="33" spans="1:10" ht="63" x14ac:dyDescent="0.2">
      <c r="A33" s="43" t="s">
        <v>73</v>
      </c>
      <c r="B33" s="79" t="s">
        <v>121</v>
      </c>
      <c r="C33" s="21" t="s">
        <v>14</v>
      </c>
      <c r="D33" s="21">
        <v>6</v>
      </c>
      <c r="E33" s="212"/>
      <c r="F33" s="212"/>
      <c r="G33" s="212"/>
      <c r="H33" s="215"/>
      <c r="J33" s="231"/>
    </row>
    <row r="34" spans="1:10" ht="63" x14ac:dyDescent="0.2">
      <c r="A34" s="43" t="s">
        <v>74</v>
      </c>
      <c r="B34" s="79" t="s">
        <v>123</v>
      </c>
      <c r="C34" s="21" t="s">
        <v>14</v>
      </c>
      <c r="D34" s="21">
        <v>6</v>
      </c>
      <c r="E34" s="212">
        <v>12500</v>
      </c>
      <c r="F34" s="212">
        <f>E34*510</f>
        <v>6375000</v>
      </c>
      <c r="G34" s="212">
        <f t="shared" si="4"/>
        <v>38250000</v>
      </c>
      <c r="H34" s="215"/>
      <c r="J34" s="231"/>
    </row>
    <row r="35" spans="1:10" ht="47.25" x14ac:dyDescent="0.2">
      <c r="A35" s="43" t="s">
        <v>75</v>
      </c>
      <c r="B35" s="79" t="s">
        <v>195</v>
      </c>
      <c r="C35" s="21" t="s">
        <v>14</v>
      </c>
      <c r="D35" s="21">
        <v>12</v>
      </c>
      <c r="E35" s="212"/>
      <c r="F35" s="212"/>
      <c r="G35" s="212"/>
      <c r="H35" s="215"/>
      <c r="J35" s="231"/>
    </row>
    <row r="36" spans="1:10" ht="31.5" x14ac:dyDescent="0.2">
      <c r="A36" s="43" t="s">
        <v>91</v>
      </c>
      <c r="B36" s="79" t="s">
        <v>124</v>
      </c>
      <c r="C36" s="21" t="s">
        <v>125</v>
      </c>
      <c r="D36" s="21">
        <v>6</v>
      </c>
      <c r="E36" s="212"/>
      <c r="F36" s="212"/>
      <c r="G36" s="212"/>
      <c r="H36" s="215"/>
      <c r="J36" s="231"/>
    </row>
    <row r="37" spans="1:10" ht="31.5" x14ac:dyDescent="0.2">
      <c r="A37" s="43" t="s">
        <v>92</v>
      </c>
      <c r="B37" s="79" t="s">
        <v>126</v>
      </c>
      <c r="C37" s="21" t="s">
        <v>14</v>
      </c>
      <c r="D37" s="21">
        <v>6</v>
      </c>
      <c r="E37" s="212"/>
      <c r="F37" s="212"/>
      <c r="G37" s="212"/>
      <c r="H37" s="215"/>
      <c r="J37" s="231"/>
    </row>
    <row r="38" spans="1:10" ht="47.25" x14ac:dyDescent="0.2">
      <c r="A38" s="43" t="s">
        <v>93</v>
      </c>
      <c r="B38" s="79" t="s">
        <v>98</v>
      </c>
      <c r="C38" s="21" t="s">
        <v>14</v>
      </c>
      <c r="D38" s="21">
        <v>6</v>
      </c>
      <c r="E38" s="212"/>
      <c r="F38" s="212"/>
      <c r="G38" s="212"/>
      <c r="H38" s="215"/>
      <c r="J38" s="231"/>
    </row>
    <row r="39" spans="1:10" x14ac:dyDescent="0.2">
      <c r="A39" s="43" t="s">
        <v>94</v>
      </c>
      <c r="B39" s="79" t="s">
        <v>127</v>
      </c>
      <c r="C39" s="21" t="s">
        <v>14</v>
      </c>
      <c r="D39" s="21">
        <v>6</v>
      </c>
      <c r="E39" s="212">
        <v>12500</v>
      </c>
      <c r="F39" s="212">
        <f>E39*510</f>
        <v>6375000</v>
      </c>
      <c r="G39" s="212">
        <f t="shared" si="4"/>
        <v>38250000</v>
      </c>
      <c r="H39" s="215"/>
      <c r="J39" s="231"/>
    </row>
    <row r="40" spans="1:10" ht="47.25" x14ac:dyDescent="0.2">
      <c r="A40" s="43" t="s">
        <v>95</v>
      </c>
      <c r="B40" s="79" t="s">
        <v>99</v>
      </c>
      <c r="C40" s="21" t="s">
        <v>14</v>
      </c>
      <c r="D40" s="21">
        <v>6</v>
      </c>
      <c r="E40" s="212"/>
      <c r="F40" s="212"/>
      <c r="G40" s="212"/>
      <c r="H40" s="215"/>
      <c r="J40" s="231"/>
    </row>
    <row r="41" spans="1:10" ht="31.5" x14ac:dyDescent="0.2">
      <c r="A41" s="43" t="s">
        <v>96</v>
      </c>
      <c r="B41" s="79" t="s">
        <v>128</v>
      </c>
      <c r="C41" s="21" t="s">
        <v>14</v>
      </c>
      <c r="D41" s="21">
        <v>18</v>
      </c>
      <c r="E41" s="212"/>
      <c r="F41" s="212"/>
      <c r="G41" s="212"/>
      <c r="H41" s="215"/>
      <c r="J41" s="231"/>
    </row>
    <row r="42" spans="1:10" ht="31.5" x14ac:dyDescent="0.2">
      <c r="A42" s="43" t="s">
        <v>97</v>
      </c>
      <c r="B42" s="79" t="s">
        <v>196</v>
      </c>
      <c r="C42" s="21" t="s">
        <v>90</v>
      </c>
      <c r="D42" s="21">
        <v>1.2</v>
      </c>
      <c r="E42" s="212"/>
      <c r="F42" s="212"/>
      <c r="G42" s="212"/>
      <c r="H42" s="215"/>
      <c r="J42" s="231"/>
    </row>
    <row r="43" spans="1:10" s="71" customFormat="1" ht="31.5" x14ac:dyDescent="0.2">
      <c r="A43" s="69" t="s">
        <v>197</v>
      </c>
      <c r="B43" s="79" t="s">
        <v>129</v>
      </c>
      <c r="C43" s="70" t="s">
        <v>14</v>
      </c>
      <c r="D43" s="70">
        <v>6</v>
      </c>
      <c r="E43" s="213"/>
      <c r="F43" s="213"/>
      <c r="G43" s="213"/>
      <c r="H43" s="216"/>
      <c r="J43" s="231"/>
    </row>
    <row r="44" spans="1:10" x14ac:dyDescent="0.2">
      <c r="A44" s="43"/>
      <c r="B44" s="20"/>
      <c r="C44" s="21"/>
      <c r="D44" s="21"/>
      <c r="E44" s="142"/>
      <c r="F44" s="142"/>
      <c r="G44" s="142"/>
      <c r="H44" s="21"/>
      <c r="J44" s="162"/>
    </row>
    <row r="45" spans="1:10" x14ac:dyDescent="0.2">
      <c r="A45" s="54">
        <v>3</v>
      </c>
      <c r="B45" s="25" t="s">
        <v>130</v>
      </c>
      <c r="C45" s="26"/>
      <c r="D45" s="26"/>
      <c r="E45" s="143"/>
      <c r="F45" s="143"/>
      <c r="G45" s="143"/>
      <c r="H45" s="32"/>
      <c r="J45" s="162"/>
    </row>
    <row r="46" spans="1:10" ht="15.75" customHeight="1" x14ac:dyDescent="0.2">
      <c r="A46" s="43" t="s">
        <v>10</v>
      </c>
      <c r="B46" s="79" t="s">
        <v>131</v>
      </c>
      <c r="C46" s="21" t="s">
        <v>14</v>
      </c>
      <c r="D46" s="21">
        <v>6</v>
      </c>
      <c r="E46" s="159">
        <v>180</v>
      </c>
      <c r="F46" s="159">
        <f t="shared" ref="F46:F50" si="5">E46*510</f>
        <v>91800</v>
      </c>
      <c r="G46" s="137">
        <f t="shared" ref="G46:G50" si="6">D46*F46</f>
        <v>550800</v>
      </c>
      <c r="H46" s="223" t="s">
        <v>424</v>
      </c>
      <c r="J46" s="177">
        <f t="shared" ref="J46:J50" si="7">G46</f>
        <v>550800</v>
      </c>
    </row>
    <row r="47" spans="1:10" x14ac:dyDescent="0.2">
      <c r="A47" s="43" t="s">
        <v>12</v>
      </c>
      <c r="B47" s="79" t="s">
        <v>132</v>
      </c>
      <c r="C47" s="21" t="s">
        <v>14</v>
      </c>
      <c r="D47" s="21">
        <v>2</v>
      </c>
      <c r="E47" s="159">
        <v>180</v>
      </c>
      <c r="F47" s="159">
        <f t="shared" si="5"/>
        <v>91800</v>
      </c>
      <c r="G47" s="137">
        <f t="shared" si="6"/>
        <v>183600</v>
      </c>
      <c r="H47" s="224"/>
      <c r="J47" s="177">
        <f t="shared" si="7"/>
        <v>183600</v>
      </c>
    </row>
    <row r="48" spans="1:10" x14ac:dyDescent="0.2">
      <c r="A48" s="43" t="s">
        <v>76</v>
      </c>
      <c r="B48" s="79" t="s">
        <v>133</v>
      </c>
      <c r="C48" s="21" t="s">
        <v>14</v>
      </c>
      <c r="D48" s="21">
        <v>4</v>
      </c>
      <c r="E48" s="159">
        <v>180</v>
      </c>
      <c r="F48" s="159">
        <f t="shared" si="5"/>
        <v>91800</v>
      </c>
      <c r="G48" s="137">
        <f t="shared" si="6"/>
        <v>367200</v>
      </c>
      <c r="H48" s="224"/>
      <c r="J48" s="177">
        <f t="shared" si="7"/>
        <v>367200</v>
      </c>
    </row>
    <row r="49" spans="1:10" x14ac:dyDescent="0.2">
      <c r="A49" s="43" t="s">
        <v>77</v>
      </c>
      <c r="B49" s="79" t="s">
        <v>101</v>
      </c>
      <c r="C49" s="21" t="s">
        <v>14</v>
      </c>
      <c r="D49" s="21">
        <v>1</v>
      </c>
      <c r="E49" s="159">
        <v>1700</v>
      </c>
      <c r="F49" s="159">
        <f t="shared" si="5"/>
        <v>867000</v>
      </c>
      <c r="G49" s="137">
        <f t="shared" si="6"/>
        <v>867000</v>
      </c>
      <c r="H49" s="224"/>
      <c r="J49" s="177">
        <f t="shared" si="7"/>
        <v>867000</v>
      </c>
    </row>
    <row r="50" spans="1:10" ht="31.5" x14ac:dyDescent="0.2">
      <c r="A50" s="43" t="s">
        <v>78</v>
      </c>
      <c r="B50" s="79" t="s">
        <v>135</v>
      </c>
      <c r="C50" s="21" t="s">
        <v>14</v>
      </c>
      <c r="D50" s="21">
        <v>1</v>
      </c>
      <c r="E50" s="159">
        <v>1200</v>
      </c>
      <c r="F50" s="159">
        <f t="shared" si="5"/>
        <v>612000</v>
      </c>
      <c r="G50" s="137">
        <f t="shared" si="6"/>
        <v>612000</v>
      </c>
      <c r="H50" s="225"/>
      <c r="J50" s="177">
        <f t="shared" si="7"/>
        <v>612000</v>
      </c>
    </row>
    <row r="51" spans="1:10" x14ac:dyDescent="0.2">
      <c r="A51" s="43"/>
      <c r="B51" s="79"/>
      <c r="C51" s="21"/>
      <c r="D51" s="21"/>
      <c r="E51" s="142"/>
      <c r="F51" s="142"/>
      <c r="G51" s="142"/>
      <c r="H51" s="21"/>
      <c r="J51" s="162"/>
    </row>
    <row r="52" spans="1:10" x14ac:dyDescent="0.2">
      <c r="A52" s="54">
        <v>4</v>
      </c>
      <c r="B52" s="25" t="s">
        <v>112</v>
      </c>
      <c r="C52" s="26"/>
      <c r="D52" s="26"/>
      <c r="E52" s="143"/>
      <c r="F52" s="143"/>
      <c r="G52" s="143"/>
      <c r="H52" s="32"/>
      <c r="J52" s="162"/>
    </row>
    <row r="53" spans="1:10" ht="63" x14ac:dyDescent="0.2">
      <c r="A53" s="43" t="s">
        <v>13</v>
      </c>
      <c r="B53" s="79" t="s">
        <v>399</v>
      </c>
      <c r="C53" s="21" t="s">
        <v>14</v>
      </c>
      <c r="D53" s="21">
        <v>1</v>
      </c>
      <c r="E53" s="159">
        <v>1700</v>
      </c>
      <c r="F53" s="159">
        <f t="shared" ref="F53:F56" si="8">E53*510</f>
        <v>867000</v>
      </c>
      <c r="G53" s="137">
        <f t="shared" ref="G53:G56" si="9">D53*F53</f>
        <v>867000</v>
      </c>
      <c r="H53" s="21" t="s">
        <v>425</v>
      </c>
      <c r="J53" s="177">
        <f t="shared" ref="J53:J56" si="10">G53</f>
        <v>867000</v>
      </c>
    </row>
    <row r="54" spans="1:10" x14ac:dyDescent="0.2">
      <c r="A54" s="43" t="s">
        <v>15</v>
      </c>
      <c r="B54" s="79" t="s">
        <v>198</v>
      </c>
      <c r="C54" s="21" t="s">
        <v>14</v>
      </c>
      <c r="D54" s="21">
        <v>2</v>
      </c>
      <c r="E54" s="159">
        <v>180</v>
      </c>
      <c r="F54" s="159">
        <f t="shared" si="8"/>
        <v>91800</v>
      </c>
      <c r="G54" s="137">
        <f t="shared" si="9"/>
        <v>183600</v>
      </c>
      <c r="H54" s="21"/>
      <c r="J54" s="177">
        <f t="shared" si="10"/>
        <v>183600</v>
      </c>
    </row>
    <row r="55" spans="1:10" x14ac:dyDescent="0.2">
      <c r="A55" s="43" t="s">
        <v>16</v>
      </c>
      <c r="B55" s="79" t="s">
        <v>199</v>
      </c>
      <c r="C55" s="21" t="s">
        <v>14</v>
      </c>
      <c r="D55" s="21">
        <v>4</v>
      </c>
      <c r="E55" s="159">
        <v>180</v>
      </c>
      <c r="F55" s="159">
        <f t="shared" si="8"/>
        <v>91800</v>
      </c>
      <c r="G55" s="137">
        <f t="shared" si="9"/>
        <v>367200</v>
      </c>
      <c r="H55" s="21"/>
      <c r="J55" s="177">
        <f t="shared" si="10"/>
        <v>367200</v>
      </c>
    </row>
    <row r="56" spans="1:10" ht="31.5" x14ac:dyDescent="0.2">
      <c r="A56" s="43" t="s">
        <v>17</v>
      </c>
      <c r="B56" s="79" t="s">
        <v>134</v>
      </c>
      <c r="C56" s="21" t="s">
        <v>14</v>
      </c>
      <c r="D56" s="21">
        <v>1</v>
      </c>
      <c r="E56" s="159">
        <v>1200</v>
      </c>
      <c r="F56" s="159">
        <f t="shared" si="8"/>
        <v>612000</v>
      </c>
      <c r="G56" s="137">
        <f t="shared" si="9"/>
        <v>612000</v>
      </c>
      <c r="H56" s="21"/>
      <c r="J56" s="177">
        <f t="shared" si="10"/>
        <v>612000</v>
      </c>
    </row>
    <row r="57" spans="1:10" x14ac:dyDescent="0.2">
      <c r="A57" s="43"/>
      <c r="B57" s="79"/>
      <c r="C57" s="21"/>
      <c r="D57" s="21"/>
      <c r="E57" s="142"/>
      <c r="F57" s="142"/>
      <c r="G57" s="142"/>
      <c r="H57" s="21"/>
      <c r="J57" s="162"/>
    </row>
    <row r="58" spans="1:10" x14ac:dyDescent="0.2">
      <c r="A58" s="54">
        <v>5</v>
      </c>
      <c r="B58" s="25" t="s">
        <v>68</v>
      </c>
      <c r="C58" s="26"/>
      <c r="D58" s="26"/>
      <c r="E58" s="143"/>
      <c r="F58" s="143"/>
      <c r="G58" s="143"/>
      <c r="H58" s="32"/>
      <c r="J58" s="162"/>
    </row>
    <row r="59" spans="1:10" ht="31.5" x14ac:dyDescent="0.2">
      <c r="A59" s="44" t="s">
        <v>50</v>
      </c>
      <c r="B59" s="105" t="s">
        <v>136</v>
      </c>
      <c r="C59" s="35"/>
      <c r="D59" s="35"/>
      <c r="E59" s="140"/>
      <c r="F59" s="140"/>
      <c r="G59" s="140"/>
      <c r="H59" s="18"/>
      <c r="J59" s="162"/>
    </row>
    <row r="60" spans="1:10" ht="31.5" x14ac:dyDescent="0.2">
      <c r="A60" s="44" t="s">
        <v>104</v>
      </c>
      <c r="B60" s="79" t="s">
        <v>137</v>
      </c>
      <c r="C60" s="35" t="s">
        <v>14</v>
      </c>
      <c r="D60" s="35">
        <v>1</v>
      </c>
      <c r="E60" s="139">
        <v>270</v>
      </c>
      <c r="F60" s="139">
        <f t="shared" ref="F60:F66" si="11">E60*510</f>
        <v>137700</v>
      </c>
      <c r="G60" s="137">
        <f t="shared" ref="G60:G66" si="12">D60*F60</f>
        <v>137700</v>
      </c>
      <c r="H60" s="18"/>
      <c r="J60" s="177">
        <f t="shared" ref="J60:J66" si="13">G60</f>
        <v>137700</v>
      </c>
    </row>
    <row r="61" spans="1:10" ht="31.5" x14ac:dyDescent="0.2">
      <c r="A61" s="44" t="s">
        <v>105</v>
      </c>
      <c r="B61" s="79" t="s">
        <v>138</v>
      </c>
      <c r="C61" s="35" t="s">
        <v>14</v>
      </c>
      <c r="D61" s="35">
        <v>1</v>
      </c>
      <c r="E61" s="139">
        <v>270</v>
      </c>
      <c r="F61" s="139">
        <f t="shared" si="11"/>
        <v>137700</v>
      </c>
      <c r="G61" s="137">
        <f t="shared" si="12"/>
        <v>137700</v>
      </c>
      <c r="H61" s="18"/>
      <c r="J61" s="177">
        <f t="shared" si="13"/>
        <v>137700</v>
      </c>
    </row>
    <row r="62" spans="1:10" ht="31.5" x14ac:dyDescent="0.2">
      <c r="A62" s="44" t="s">
        <v>106</v>
      </c>
      <c r="B62" s="79" t="s">
        <v>139</v>
      </c>
      <c r="C62" s="35" t="s">
        <v>14</v>
      </c>
      <c r="D62" s="35">
        <v>1</v>
      </c>
      <c r="E62" s="139">
        <v>120</v>
      </c>
      <c r="F62" s="139">
        <f t="shared" si="11"/>
        <v>61200</v>
      </c>
      <c r="G62" s="137">
        <f t="shared" si="12"/>
        <v>61200</v>
      </c>
      <c r="H62" s="18"/>
      <c r="J62" s="177">
        <f t="shared" si="13"/>
        <v>61200</v>
      </c>
    </row>
    <row r="63" spans="1:10" x14ac:dyDescent="0.2">
      <c r="A63" s="44" t="s">
        <v>107</v>
      </c>
      <c r="B63" s="79" t="s">
        <v>80</v>
      </c>
      <c r="C63" s="35" t="s">
        <v>14</v>
      </c>
      <c r="D63" s="35">
        <v>1</v>
      </c>
      <c r="E63" s="139"/>
      <c r="F63" s="139">
        <f t="shared" si="11"/>
        <v>0</v>
      </c>
      <c r="G63" s="137">
        <f t="shared" si="12"/>
        <v>0</v>
      </c>
      <c r="H63" s="18"/>
      <c r="J63" s="177">
        <f t="shared" si="13"/>
        <v>0</v>
      </c>
    </row>
    <row r="64" spans="1:10" ht="31.5" x14ac:dyDescent="0.2">
      <c r="A64" s="44" t="s">
        <v>108</v>
      </c>
      <c r="B64" s="79" t="s">
        <v>140</v>
      </c>
      <c r="C64" s="35" t="s">
        <v>14</v>
      </c>
      <c r="D64" s="35">
        <v>2</v>
      </c>
      <c r="E64" s="139">
        <v>130</v>
      </c>
      <c r="F64" s="139">
        <f t="shared" si="11"/>
        <v>66300</v>
      </c>
      <c r="G64" s="137">
        <f t="shared" si="12"/>
        <v>132600</v>
      </c>
      <c r="H64" s="18"/>
      <c r="J64" s="177">
        <f t="shared" si="13"/>
        <v>132600</v>
      </c>
    </row>
    <row r="65" spans="1:10" ht="31.5" x14ac:dyDescent="0.2">
      <c r="A65" s="44" t="s">
        <v>109</v>
      </c>
      <c r="B65" s="79" t="s">
        <v>141</v>
      </c>
      <c r="C65" s="35" t="s">
        <v>14</v>
      </c>
      <c r="D65" s="35">
        <v>2</v>
      </c>
      <c r="E65" s="139">
        <v>130</v>
      </c>
      <c r="F65" s="139">
        <f t="shared" si="11"/>
        <v>66300</v>
      </c>
      <c r="G65" s="137">
        <f t="shared" si="12"/>
        <v>132600</v>
      </c>
      <c r="H65" s="18"/>
      <c r="J65" s="177">
        <f t="shared" si="13"/>
        <v>132600</v>
      </c>
    </row>
    <row r="66" spans="1:10" ht="31.5" x14ac:dyDescent="0.2">
      <c r="A66" s="44" t="s">
        <v>110</v>
      </c>
      <c r="B66" s="79" t="s">
        <v>142</v>
      </c>
      <c r="C66" s="35" t="s">
        <v>14</v>
      </c>
      <c r="D66" s="35">
        <v>2</v>
      </c>
      <c r="E66" s="139">
        <v>220</v>
      </c>
      <c r="F66" s="139">
        <f t="shared" si="11"/>
        <v>112200</v>
      </c>
      <c r="G66" s="137">
        <f t="shared" si="12"/>
        <v>224400</v>
      </c>
      <c r="H66" s="18"/>
      <c r="J66" s="177">
        <f t="shared" si="13"/>
        <v>224400</v>
      </c>
    </row>
    <row r="67" spans="1:10" x14ac:dyDescent="0.2">
      <c r="A67" s="44"/>
      <c r="B67" s="79"/>
      <c r="C67" s="35"/>
      <c r="D67" s="35"/>
      <c r="E67" s="140"/>
      <c r="F67" s="140"/>
      <c r="G67" s="140"/>
      <c r="H67" s="18"/>
      <c r="J67" s="162"/>
    </row>
    <row r="68" spans="1:10" s="16" customFormat="1" ht="47.25" x14ac:dyDescent="0.2">
      <c r="A68" s="54">
        <v>6</v>
      </c>
      <c r="B68" s="31" t="s">
        <v>426</v>
      </c>
      <c r="C68" s="29" t="s">
        <v>26</v>
      </c>
      <c r="D68" s="24">
        <v>3</v>
      </c>
      <c r="E68" s="144"/>
      <c r="F68" s="144"/>
      <c r="G68" s="144"/>
      <c r="H68" s="30"/>
      <c r="J68" s="179"/>
    </row>
    <row r="69" spans="1:10" s="16" customFormat="1" ht="31.5" x14ac:dyDescent="0.2">
      <c r="A69" s="62" t="s">
        <v>18</v>
      </c>
      <c r="B69" s="68" t="s">
        <v>149</v>
      </c>
      <c r="C69" s="226"/>
      <c r="D69" s="223">
        <v>3</v>
      </c>
      <c r="E69" s="193">
        <v>12500</v>
      </c>
      <c r="F69" s="193">
        <f t="shared" ref="F69:F107" si="14">E69*510</f>
        <v>6375000</v>
      </c>
      <c r="G69" s="193">
        <f t="shared" ref="G69:G107" si="15">D69*F69</f>
        <v>19125000</v>
      </c>
      <c r="H69" s="223" t="s">
        <v>437</v>
      </c>
      <c r="J69" s="179"/>
    </row>
    <row r="70" spans="1:10" s="16" customFormat="1" ht="31.5" x14ac:dyDescent="0.2">
      <c r="A70" s="62" t="s">
        <v>19</v>
      </c>
      <c r="B70" s="68" t="s">
        <v>181</v>
      </c>
      <c r="C70" s="227"/>
      <c r="D70" s="224"/>
      <c r="E70" s="194"/>
      <c r="F70" s="194">
        <f t="shared" si="14"/>
        <v>0</v>
      </c>
      <c r="G70" s="194">
        <f t="shared" si="15"/>
        <v>0</v>
      </c>
      <c r="H70" s="224"/>
      <c r="J70" s="179"/>
    </row>
    <row r="71" spans="1:10" s="16" customFormat="1" x14ac:dyDescent="0.2">
      <c r="A71" s="62" t="s">
        <v>51</v>
      </c>
      <c r="B71" s="68" t="s">
        <v>150</v>
      </c>
      <c r="C71" s="227"/>
      <c r="D71" s="224"/>
      <c r="E71" s="194"/>
      <c r="F71" s="194">
        <f t="shared" si="14"/>
        <v>0</v>
      </c>
      <c r="G71" s="194">
        <f t="shared" si="15"/>
        <v>0</v>
      </c>
      <c r="H71" s="224"/>
      <c r="J71" s="179"/>
    </row>
    <row r="72" spans="1:10" s="16" customFormat="1" x14ac:dyDescent="0.2">
      <c r="A72" s="62" t="s">
        <v>20</v>
      </c>
      <c r="B72" s="68" t="s">
        <v>153</v>
      </c>
      <c r="C72" s="227"/>
      <c r="D72" s="224"/>
      <c r="E72" s="194"/>
      <c r="F72" s="194">
        <f t="shared" si="14"/>
        <v>0</v>
      </c>
      <c r="G72" s="194">
        <f t="shared" si="15"/>
        <v>0</v>
      </c>
      <c r="H72" s="224"/>
      <c r="J72" s="179"/>
    </row>
    <row r="73" spans="1:10" s="16" customFormat="1" x14ac:dyDescent="0.2">
      <c r="A73" s="62" t="s">
        <v>21</v>
      </c>
      <c r="B73" s="68" t="s">
        <v>170</v>
      </c>
      <c r="C73" s="227"/>
      <c r="D73" s="224"/>
      <c r="E73" s="194"/>
      <c r="F73" s="194">
        <f t="shared" si="14"/>
        <v>0</v>
      </c>
      <c r="G73" s="194">
        <f t="shared" si="15"/>
        <v>0</v>
      </c>
      <c r="H73" s="224"/>
      <c r="J73" s="179"/>
    </row>
    <row r="74" spans="1:10" s="16" customFormat="1" x14ac:dyDescent="0.2">
      <c r="A74" s="62" t="s">
        <v>37</v>
      </c>
      <c r="B74" s="68" t="s">
        <v>171</v>
      </c>
      <c r="C74" s="227"/>
      <c r="D74" s="224"/>
      <c r="E74" s="194"/>
      <c r="F74" s="194">
        <f t="shared" si="14"/>
        <v>0</v>
      </c>
      <c r="G74" s="194">
        <f t="shared" si="15"/>
        <v>0</v>
      </c>
      <c r="H74" s="224"/>
      <c r="J74" s="179"/>
    </row>
    <row r="75" spans="1:10" s="16" customFormat="1" ht="31.5" x14ac:dyDescent="0.2">
      <c r="A75" s="62" t="s">
        <v>242</v>
      </c>
      <c r="B75" s="68" t="s">
        <v>151</v>
      </c>
      <c r="C75" s="227"/>
      <c r="D75" s="224"/>
      <c r="E75" s="194"/>
      <c r="F75" s="194">
        <f t="shared" si="14"/>
        <v>0</v>
      </c>
      <c r="G75" s="194">
        <f t="shared" si="15"/>
        <v>0</v>
      </c>
      <c r="H75" s="224"/>
      <c r="J75" s="179"/>
    </row>
    <row r="76" spans="1:10" s="16" customFormat="1" x14ac:dyDescent="0.2">
      <c r="A76" s="62" t="s">
        <v>243</v>
      </c>
      <c r="B76" s="68" t="s">
        <v>152</v>
      </c>
      <c r="C76" s="227"/>
      <c r="D76" s="224"/>
      <c r="E76" s="194"/>
      <c r="F76" s="194">
        <f t="shared" si="14"/>
        <v>0</v>
      </c>
      <c r="G76" s="194">
        <f t="shared" si="15"/>
        <v>0</v>
      </c>
      <c r="H76" s="224"/>
      <c r="J76" s="179"/>
    </row>
    <row r="77" spans="1:10" s="16" customFormat="1" x14ac:dyDescent="0.2">
      <c r="A77" s="62" t="s">
        <v>244</v>
      </c>
      <c r="B77" s="68" t="s">
        <v>172</v>
      </c>
      <c r="C77" s="227"/>
      <c r="D77" s="224"/>
      <c r="E77" s="194"/>
      <c r="F77" s="194">
        <f t="shared" si="14"/>
        <v>0</v>
      </c>
      <c r="G77" s="194">
        <f t="shared" si="15"/>
        <v>0</v>
      </c>
      <c r="H77" s="224"/>
      <c r="J77" s="179"/>
    </row>
    <row r="78" spans="1:10" s="16" customFormat="1" x14ac:dyDescent="0.2">
      <c r="A78" s="62" t="s">
        <v>245</v>
      </c>
      <c r="B78" s="68" t="s">
        <v>173</v>
      </c>
      <c r="C78" s="227"/>
      <c r="D78" s="224"/>
      <c r="E78" s="194"/>
      <c r="F78" s="194">
        <f t="shared" si="14"/>
        <v>0</v>
      </c>
      <c r="G78" s="194">
        <f t="shared" si="15"/>
        <v>0</v>
      </c>
      <c r="H78" s="224"/>
      <c r="J78" s="179"/>
    </row>
    <row r="79" spans="1:10" s="16" customFormat="1" ht="31.5" x14ac:dyDescent="0.2">
      <c r="A79" s="62" t="s">
        <v>246</v>
      </c>
      <c r="B79" s="68" t="s">
        <v>179</v>
      </c>
      <c r="C79" s="227"/>
      <c r="D79" s="224"/>
      <c r="E79" s="194"/>
      <c r="F79" s="194">
        <f t="shared" si="14"/>
        <v>0</v>
      </c>
      <c r="G79" s="194">
        <f t="shared" si="15"/>
        <v>0</v>
      </c>
      <c r="H79" s="224"/>
      <c r="J79" s="179"/>
    </row>
    <row r="80" spans="1:10" s="16" customFormat="1" ht="31.5" x14ac:dyDescent="0.2">
      <c r="A80" s="62" t="s">
        <v>247</v>
      </c>
      <c r="B80" s="68" t="s">
        <v>155</v>
      </c>
      <c r="C80" s="227"/>
      <c r="D80" s="224"/>
      <c r="E80" s="194"/>
      <c r="F80" s="194">
        <f t="shared" si="14"/>
        <v>0</v>
      </c>
      <c r="G80" s="194">
        <f t="shared" si="15"/>
        <v>0</v>
      </c>
      <c r="H80" s="224"/>
      <c r="J80" s="179"/>
    </row>
    <row r="81" spans="1:10" s="16" customFormat="1" x14ac:dyDescent="0.2">
      <c r="A81" s="62" t="s">
        <v>248</v>
      </c>
      <c r="B81" s="102" t="s">
        <v>154</v>
      </c>
      <c r="C81" s="227"/>
      <c r="D81" s="224"/>
      <c r="E81" s="194"/>
      <c r="F81" s="194">
        <f t="shared" si="14"/>
        <v>0</v>
      </c>
      <c r="G81" s="194">
        <f t="shared" si="15"/>
        <v>0</v>
      </c>
      <c r="H81" s="224"/>
      <c r="J81" s="179"/>
    </row>
    <row r="82" spans="1:10" s="16" customFormat="1" x14ac:dyDescent="0.2">
      <c r="A82" s="62" t="s">
        <v>249</v>
      </c>
      <c r="B82" s="102" t="s">
        <v>156</v>
      </c>
      <c r="C82" s="227"/>
      <c r="D82" s="224"/>
      <c r="E82" s="194"/>
      <c r="F82" s="194">
        <f t="shared" si="14"/>
        <v>0</v>
      </c>
      <c r="G82" s="194">
        <f t="shared" si="15"/>
        <v>0</v>
      </c>
      <c r="H82" s="224"/>
      <c r="J82" s="179"/>
    </row>
    <row r="83" spans="1:10" s="16" customFormat="1" x14ac:dyDescent="0.2">
      <c r="A83" s="62" t="s">
        <v>250</v>
      </c>
      <c r="B83" s="102" t="s">
        <v>157</v>
      </c>
      <c r="C83" s="227"/>
      <c r="D83" s="224"/>
      <c r="E83" s="194"/>
      <c r="F83" s="194">
        <f t="shared" si="14"/>
        <v>0</v>
      </c>
      <c r="G83" s="194">
        <f t="shared" si="15"/>
        <v>0</v>
      </c>
      <c r="H83" s="224"/>
      <c r="J83" s="179"/>
    </row>
    <row r="84" spans="1:10" s="16" customFormat="1" x14ac:dyDescent="0.2">
      <c r="A84" s="62" t="s">
        <v>251</v>
      </c>
      <c r="B84" s="102" t="s">
        <v>158</v>
      </c>
      <c r="C84" s="227"/>
      <c r="D84" s="224"/>
      <c r="E84" s="194"/>
      <c r="F84" s="194">
        <f t="shared" si="14"/>
        <v>0</v>
      </c>
      <c r="G84" s="194">
        <f t="shared" si="15"/>
        <v>0</v>
      </c>
      <c r="H84" s="224"/>
      <c r="J84" s="179"/>
    </row>
    <row r="85" spans="1:10" s="16" customFormat="1" x14ac:dyDescent="0.2">
      <c r="A85" s="62" t="s">
        <v>252</v>
      </c>
      <c r="B85" s="102" t="s">
        <v>159</v>
      </c>
      <c r="C85" s="227"/>
      <c r="D85" s="224"/>
      <c r="E85" s="194"/>
      <c r="F85" s="194">
        <f t="shared" si="14"/>
        <v>0</v>
      </c>
      <c r="G85" s="194">
        <f t="shared" si="15"/>
        <v>0</v>
      </c>
      <c r="H85" s="224"/>
      <c r="J85" s="179"/>
    </row>
    <row r="86" spans="1:10" s="16" customFormat="1" x14ac:dyDescent="0.2">
      <c r="A86" s="62" t="s">
        <v>253</v>
      </c>
      <c r="B86" s="102" t="s">
        <v>35</v>
      </c>
      <c r="C86" s="227"/>
      <c r="D86" s="224"/>
      <c r="E86" s="194"/>
      <c r="F86" s="194">
        <f t="shared" si="14"/>
        <v>0</v>
      </c>
      <c r="G86" s="194">
        <f t="shared" si="15"/>
        <v>0</v>
      </c>
      <c r="H86" s="224"/>
      <c r="J86" s="179"/>
    </row>
    <row r="87" spans="1:10" s="16" customFormat="1" x14ac:dyDescent="0.2">
      <c r="A87" s="62" t="s">
        <v>254</v>
      </c>
      <c r="B87" s="102" t="s">
        <v>160</v>
      </c>
      <c r="C87" s="227"/>
      <c r="D87" s="224"/>
      <c r="E87" s="194"/>
      <c r="F87" s="194">
        <f t="shared" si="14"/>
        <v>0</v>
      </c>
      <c r="G87" s="194">
        <f t="shared" si="15"/>
        <v>0</v>
      </c>
      <c r="H87" s="224"/>
      <c r="J87" s="179"/>
    </row>
    <row r="88" spans="1:10" s="16" customFormat="1" x14ac:dyDescent="0.2">
      <c r="A88" s="62" t="s">
        <v>255</v>
      </c>
      <c r="B88" s="71" t="s">
        <v>175</v>
      </c>
      <c r="C88" s="227"/>
      <c r="D88" s="224"/>
      <c r="E88" s="194"/>
      <c r="F88" s="194">
        <f t="shared" si="14"/>
        <v>0</v>
      </c>
      <c r="G88" s="194">
        <f t="shared" si="15"/>
        <v>0</v>
      </c>
      <c r="H88" s="224"/>
      <c r="J88" s="179"/>
    </row>
    <row r="89" spans="1:10" s="16" customFormat="1" x14ac:dyDescent="0.2">
      <c r="A89" s="62" t="s">
        <v>256</v>
      </c>
      <c r="B89" s="71" t="s">
        <v>174</v>
      </c>
      <c r="C89" s="227"/>
      <c r="D89" s="224"/>
      <c r="E89" s="194"/>
      <c r="F89" s="194">
        <f t="shared" si="14"/>
        <v>0</v>
      </c>
      <c r="G89" s="194">
        <f t="shared" si="15"/>
        <v>0</v>
      </c>
      <c r="H89" s="224"/>
      <c r="J89" s="179"/>
    </row>
    <row r="90" spans="1:10" s="16" customFormat="1" ht="31.5" x14ac:dyDescent="0.2">
      <c r="A90" s="62" t="s">
        <v>257</v>
      </c>
      <c r="B90" s="68" t="s">
        <v>161</v>
      </c>
      <c r="C90" s="227"/>
      <c r="D90" s="224"/>
      <c r="E90" s="194"/>
      <c r="F90" s="194">
        <f t="shared" si="14"/>
        <v>0</v>
      </c>
      <c r="G90" s="194">
        <f t="shared" si="15"/>
        <v>0</v>
      </c>
      <c r="H90" s="224"/>
      <c r="J90" s="179"/>
    </row>
    <row r="91" spans="1:10" s="16" customFormat="1" x14ac:dyDescent="0.2">
      <c r="A91" s="62" t="s">
        <v>258</v>
      </c>
      <c r="B91" s="68" t="s">
        <v>180</v>
      </c>
      <c r="C91" s="227"/>
      <c r="D91" s="224"/>
      <c r="E91" s="194"/>
      <c r="F91" s="194">
        <f t="shared" si="14"/>
        <v>0</v>
      </c>
      <c r="G91" s="194">
        <f t="shared" si="15"/>
        <v>0</v>
      </c>
      <c r="H91" s="224"/>
      <c r="J91" s="179"/>
    </row>
    <row r="92" spans="1:10" s="16" customFormat="1" x14ac:dyDescent="0.2">
      <c r="A92" s="62" t="s">
        <v>259</v>
      </c>
      <c r="B92" s="68" t="s">
        <v>148</v>
      </c>
      <c r="C92" s="227"/>
      <c r="D92" s="224"/>
      <c r="E92" s="194"/>
      <c r="F92" s="194">
        <f t="shared" si="14"/>
        <v>0</v>
      </c>
      <c r="G92" s="194">
        <f t="shared" si="15"/>
        <v>0</v>
      </c>
      <c r="H92" s="224"/>
      <c r="J92" s="179"/>
    </row>
    <row r="93" spans="1:10" s="16" customFormat="1" ht="31.5" x14ac:dyDescent="0.2">
      <c r="A93" s="62" t="s">
        <v>260</v>
      </c>
      <c r="B93" s="68" t="s">
        <v>162</v>
      </c>
      <c r="C93" s="227"/>
      <c r="D93" s="224"/>
      <c r="E93" s="194"/>
      <c r="F93" s="194">
        <f t="shared" si="14"/>
        <v>0</v>
      </c>
      <c r="G93" s="194">
        <f t="shared" si="15"/>
        <v>0</v>
      </c>
      <c r="H93" s="224"/>
      <c r="J93" s="179"/>
    </row>
    <row r="94" spans="1:10" s="16" customFormat="1" ht="31.5" x14ac:dyDescent="0.2">
      <c r="A94" s="62" t="s">
        <v>261</v>
      </c>
      <c r="B94" s="68" t="s">
        <v>176</v>
      </c>
      <c r="C94" s="227"/>
      <c r="D94" s="224"/>
      <c r="E94" s="194"/>
      <c r="F94" s="194">
        <f t="shared" si="14"/>
        <v>0</v>
      </c>
      <c r="G94" s="194">
        <f t="shared" si="15"/>
        <v>0</v>
      </c>
      <c r="H94" s="224"/>
      <c r="J94" s="179"/>
    </row>
    <row r="95" spans="1:10" s="16" customFormat="1" ht="55.5" customHeight="1" x14ac:dyDescent="0.2">
      <c r="A95" s="62" t="s">
        <v>262</v>
      </c>
      <c r="B95" s="68" t="s">
        <v>36</v>
      </c>
      <c r="C95" s="227"/>
      <c r="D95" s="224"/>
      <c r="E95" s="194"/>
      <c r="F95" s="194">
        <f t="shared" si="14"/>
        <v>0</v>
      </c>
      <c r="G95" s="194">
        <f t="shared" si="15"/>
        <v>0</v>
      </c>
      <c r="H95" s="224"/>
      <c r="J95" s="179"/>
    </row>
    <row r="96" spans="1:10" s="16" customFormat="1" ht="31.5" x14ac:dyDescent="0.2">
      <c r="A96" s="62" t="s">
        <v>263</v>
      </c>
      <c r="B96" s="68" t="s">
        <v>163</v>
      </c>
      <c r="C96" s="227"/>
      <c r="D96" s="224"/>
      <c r="E96" s="194"/>
      <c r="F96" s="194">
        <f t="shared" si="14"/>
        <v>0</v>
      </c>
      <c r="G96" s="194">
        <f t="shared" si="15"/>
        <v>0</v>
      </c>
      <c r="H96" s="224"/>
      <c r="J96" s="179"/>
    </row>
    <row r="97" spans="1:10" s="16" customFormat="1" x14ac:dyDescent="0.2">
      <c r="A97" s="62" t="s">
        <v>264</v>
      </c>
      <c r="B97" s="68"/>
      <c r="C97" s="227"/>
      <c r="D97" s="224"/>
      <c r="E97" s="194"/>
      <c r="F97" s="194">
        <f t="shared" si="14"/>
        <v>0</v>
      </c>
      <c r="G97" s="194">
        <f t="shared" si="15"/>
        <v>0</v>
      </c>
      <c r="H97" s="224"/>
      <c r="J97" s="179"/>
    </row>
    <row r="98" spans="1:10" s="16" customFormat="1" ht="31.5" x14ac:dyDescent="0.2">
      <c r="A98" s="62" t="s">
        <v>265</v>
      </c>
      <c r="B98" s="68" t="s">
        <v>164</v>
      </c>
      <c r="C98" s="227"/>
      <c r="D98" s="224"/>
      <c r="E98" s="194"/>
      <c r="F98" s="194">
        <f t="shared" si="14"/>
        <v>0</v>
      </c>
      <c r="G98" s="194">
        <f t="shared" si="15"/>
        <v>0</v>
      </c>
      <c r="H98" s="224"/>
      <c r="J98" s="179"/>
    </row>
    <row r="99" spans="1:10" s="16" customFormat="1" ht="31.5" x14ac:dyDescent="0.2">
      <c r="A99" s="62" t="s">
        <v>266</v>
      </c>
      <c r="B99" s="103" t="s">
        <v>165</v>
      </c>
      <c r="C99" s="227"/>
      <c r="D99" s="224"/>
      <c r="E99" s="194"/>
      <c r="F99" s="194">
        <f t="shared" si="14"/>
        <v>0</v>
      </c>
      <c r="G99" s="194">
        <f t="shared" si="15"/>
        <v>0</v>
      </c>
      <c r="H99" s="224"/>
      <c r="J99" s="179"/>
    </row>
    <row r="100" spans="1:10" s="16" customFormat="1" x14ac:dyDescent="0.2">
      <c r="A100" s="62" t="s">
        <v>267</v>
      </c>
      <c r="B100" s="103" t="s">
        <v>177</v>
      </c>
      <c r="C100" s="227"/>
      <c r="D100" s="224"/>
      <c r="E100" s="194"/>
      <c r="F100" s="194">
        <f t="shared" si="14"/>
        <v>0</v>
      </c>
      <c r="G100" s="194">
        <f t="shared" si="15"/>
        <v>0</v>
      </c>
      <c r="H100" s="224"/>
      <c r="J100" s="179"/>
    </row>
    <row r="101" spans="1:10" s="16" customFormat="1" x14ac:dyDescent="0.2">
      <c r="A101" s="62" t="s">
        <v>268</v>
      </c>
      <c r="B101" s="103" t="s">
        <v>178</v>
      </c>
      <c r="C101" s="227"/>
      <c r="D101" s="224"/>
      <c r="E101" s="194"/>
      <c r="F101" s="194">
        <f t="shared" si="14"/>
        <v>0</v>
      </c>
      <c r="G101" s="194">
        <f t="shared" si="15"/>
        <v>0</v>
      </c>
      <c r="H101" s="224"/>
      <c r="J101" s="179"/>
    </row>
    <row r="102" spans="1:10" s="16" customFormat="1" ht="47.25" x14ac:dyDescent="0.2">
      <c r="A102" s="62" t="s">
        <v>269</v>
      </c>
      <c r="B102" s="104" t="s">
        <v>38</v>
      </c>
      <c r="C102" s="227"/>
      <c r="D102" s="224"/>
      <c r="E102" s="194"/>
      <c r="F102" s="194">
        <f t="shared" si="14"/>
        <v>0</v>
      </c>
      <c r="G102" s="194">
        <f t="shared" si="15"/>
        <v>0</v>
      </c>
      <c r="H102" s="224"/>
      <c r="J102" s="179"/>
    </row>
    <row r="103" spans="1:10" s="16" customFormat="1" x14ac:dyDescent="0.2">
      <c r="A103" s="62" t="s">
        <v>270</v>
      </c>
      <c r="B103" s="103" t="s">
        <v>166</v>
      </c>
      <c r="C103" s="227"/>
      <c r="D103" s="224"/>
      <c r="E103" s="194"/>
      <c r="F103" s="194">
        <f t="shared" si="14"/>
        <v>0</v>
      </c>
      <c r="G103" s="194">
        <f t="shared" si="15"/>
        <v>0</v>
      </c>
      <c r="H103" s="224"/>
      <c r="J103" s="179"/>
    </row>
    <row r="104" spans="1:10" s="16" customFormat="1" ht="31.5" x14ac:dyDescent="0.2">
      <c r="A104" s="62" t="s">
        <v>271</v>
      </c>
      <c r="B104" s="68" t="s">
        <v>167</v>
      </c>
      <c r="C104" s="227"/>
      <c r="D104" s="224"/>
      <c r="E104" s="194"/>
      <c r="F104" s="194">
        <f t="shared" si="14"/>
        <v>0</v>
      </c>
      <c r="G104" s="194">
        <f t="shared" si="15"/>
        <v>0</v>
      </c>
      <c r="H104" s="224"/>
      <c r="J104" s="179"/>
    </row>
    <row r="105" spans="1:10" s="16" customFormat="1" x14ac:dyDescent="0.2">
      <c r="A105" s="62" t="s">
        <v>272</v>
      </c>
      <c r="B105" s="68" t="s">
        <v>168</v>
      </c>
      <c r="C105" s="227"/>
      <c r="D105" s="224"/>
      <c r="E105" s="194"/>
      <c r="F105" s="194">
        <f t="shared" si="14"/>
        <v>0</v>
      </c>
      <c r="G105" s="194">
        <f t="shared" si="15"/>
        <v>0</v>
      </c>
      <c r="H105" s="224"/>
      <c r="J105" s="179"/>
    </row>
    <row r="106" spans="1:10" s="16" customFormat="1" ht="31.5" x14ac:dyDescent="0.2">
      <c r="A106" s="62" t="s">
        <v>273</v>
      </c>
      <c r="B106" s="68" t="s">
        <v>169</v>
      </c>
      <c r="C106" s="227"/>
      <c r="D106" s="224"/>
      <c r="E106" s="194"/>
      <c r="F106" s="194">
        <f t="shared" si="14"/>
        <v>0</v>
      </c>
      <c r="G106" s="194">
        <f t="shared" si="15"/>
        <v>0</v>
      </c>
      <c r="H106" s="224"/>
      <c r="J106" s="179"/>
    </row>
    <row r="107" spans="1:10" s="16" customFormat="1" ht="126" x14ac:dyDescent="0.2">
      <c r="A107" s="62" t="s">
        <v>274</v>
      </c>
      <c r="B107" s="68" t="s">
        <v>207</v>
      </c>
      <c r="C107" s="228"/>
      <c r="D107" s="225"/>
      <c r="E107" s="195"/>
      <c r="F107" s="195">
        <f t="shared" si="14"/>
        <v>0</v>
      </c>
      <c r="G107" s="195">
        <f t="shared" si="15"/>
        <v>0</v>
      </c>
      <c r="H107" s="225"/>
      <c r="J107" s="179"/>
    </row>
    <row r="108" spans="1:10" s="16" customFormat="1" x14ac:dyDescent="0.2">
      <c r="A108" s="35"/>
      <c r="B108" s="10"/>
      <c r="C108" s="53"/>
      <c r="D108" s="15"/>
      <c r="E108" s="145"/>
      <c r="F108" s="145"/>
      <c r="G108" s="145"/>
      <c r="H108" s="19"/>
      <c r="J108" s="179"/>
    </row>
    <row r="109" spans="1:10" ht="31.5" x14ac:dyDescent="0.2">
      <c r="A109" s="65">
        <v>7</v>
      </c>
      <c r="B109" s="28" t="s">
        <v>194</v>
      </c>
      <c r="C109" s="29"/>
      <c r="D109" s="24">
        <v>3</v>
      </c>
      <c r="E109" s="141"/>
      <c r="F109" s="141"/>
      <c r="G109" s="141"/>
      <c r="H109" s="36"/>
      <c r="J109" s="162"/>
    </row>
    <row r="110" spans="1:10" ht="47.25" x14ac:dyDescent="0.2">
      <c r="A110" s="44" t="s">
        <v>275</v>
      </c>
      <c r="B110" s="80" t="s">
        <v>102</v>
      </c>
      <c r="C110" s="40" t="s">
        <v>14</v>
      </c>
      <c r="D110" s="39">
        <v>3</v>
      </c>
      <c r="E110" s="146"/>
      <c r="F110" s="146"/>
      <c r="G110" s="146"/>
      <c r="H110" s="174" t="s">
        <v>436</v>
      </c>
      <c r="J110" s="162"/>
    </row>
    <row r="111" spans="1:10" x14ac:dyDescent="0.2">
      <c r="A111" s="62" t="s">
        <v>276</v>
      </c>
      <c r="B111" s="80" t="s">
        <v>103</v>
      </c>
      <c r="C111" s="40" t="s">
        <v>14</v>
      </c>
      <c r="D111" s="39">
        <v>3</v>
      </c>
      <c r="E111" s="169">
        <v>1200</v>
      </c>
      <c r="F111" s="139">
        <f t="shared" ref="F111:F114" si="16">E111*510</f>
        <v>612000</v>
      </c>
      <c r="G111" s="139">
        <f t="shared" ref="G111:G114" si="17">D111*F111</f>
        <v>1836000</v>
      </c>
      <c r="H111" s="18"/>
      <c r="J111" s="162"/>
    </row>
    <row r="112" spans="1:10" x14ac:dyDescent="0.2">
      <c r="A112" s="62" t="s">
        <v>277</v>
      </c>
      <c r="B112" s="80" t="s">
        <v>200</v>
      </c>
      <c r="C112" s="40" t="s">
        <v>14</v>
      </c>
      <c r="D112" s="39">
        <v>3</v>
      </c>
      <c r="E112" s="169">
        <v>900</v>
      </c>
      <c r="F112" s="139">
        <f t="shared" si="16"/>
        <v>459000</v>
      </c>
      <c r="G112" s="139">
        <f t="shared" si="17"/>
        <v>1377000</v>
      </c>
      <c r="H112" s="18"/>
      <c r="J112" s="162"/>
    </row>
    <row r="113" spans="1:10" ht="31.5" x14ac:dyDescent="0.2">
      <c r="A113" s="62" t="s">
        <v>278</v>
      </c>
      <c r="B113" s="80" t="s">
        <v>145</v>
      </c>
      <c r="C113" s="40" t="s">
        <v>14</v>
      </c>
      <c r="D113" s="39">
        <v>3</v>
      </c>
      <c r="E113" s="169">
        <v>900</v>
      </c>
      <c r="F113" s="139">
        <f t="shared" si="16"/>
        <v>459000</v>
      </c>
      <c r="G113" s="139">
        <f t="shared" si="17"/>
        <v>1377000</v>
      </c>
      <c r="H113" s="18"/>
      <c r="J113" s="162"/>
    </row>
    <row r="114" spans="1:10" x14ac:dyDescent="0.2">
      <c r="A114" s="62" t="s">
        <v>279</v>
      </c>
      <c r="B114" s="80" t="s">
        <v>201</v>
      </c>
      <c r="C114" s="40" t="s">
        <v>89</v>
      </c>
      <c r="D114" s="39">
        <v>3</v>
      </c>
      <c r="E114" s="169">
        <v>900</v>
      </c>
      <c r="F114" s="139">
        <f t="shared" si="16"/>
        <v>459000</v>
      </c>
      <c r="G114" s="139">
        <f t="shared" si="17"/>
        <v>1377000</v>
      </c>
      <c r="H114" s="18"/>
      <c r="J114" s="169"/>
    </row>
    <row r="115" spans="1:10" x14ac:dyDescent="0.2">
      <c r="A115" s="62"/>
      <c r="B115" s="80"/>
      <c r="C115" s="40"/>
      <c r="D115" s="39"/>
      <c r="E115" s="146"/>
      <c r="F115" s="146"/>
      <c r="G115" s="146"/>
      <c r="H115" s="113"/>
      <c r="J115" s="162"/>
    </row>
    <row r="116" spans="1:10" x14ac:dyDescent="0.2">
      <c r="A116" s="67" t="s">
        <v>280</v>
      </c>
      <c r="B116" s="25" t="s">
        <v>63</v>
      </c>
      <c r="C116" s="26" t="s">
        <v>8</v>
      </c>
      <c r="D116" s="26">
        <v>1</v>
      </c>
      <c r="E116" s="143"/>
      <c r="F116" s="143"/>
      <c r="G116" s="143"/>
      <c r="H116" s="32"/>
      <c r="J116" s="162"/>
    </row>
    <row r="117" spans="1:10" ht="31.5" x14ac:dyDescent="0.2">
      <c r="A117" s="44" t="s">
        <v>281</v>
      </c>
      <c r="B117" s="79" t="s">
        <v>65</v>
      </c>
      <c r="C117" s="223" t="s">
        <v>28</v>
      </c>
      <c r="D117" s="223">
        <v>15</v>
      </c>
      <c r="E117" s="206">
        <v>270</v>
      </c>
      <c r="F117" s="200">
        <f t="shared" ref="F117" si="18">E117*510</f>
        <v>137700</v>
      </c>
      <c r="G117" s="200">
        <f t="shared" ref="G117" si="19">D117*F117</f>
        <v>2065500</v>
      </c>
      <c r="H117" s="203"/>
      <c r="J117" s="187"/>
    </row>
    <row r="118" spans="1:10" ht="31.5" x14ac:dyDescent="0.2">
      <c r="A118" s="62" t="s">
        <v>282</v>
      </c>
      <c r="B118" s="79" t="s">
        <v>64</v>
      </c>
      <c r="C118" s="224"/>
      <c r="D118" s="224"/>
      <c r="E118" s="229"/>
      <c r="F118" s="201"/>
      <c r="G118" s="201"/>
      <c r="H118" s="204"/>
      <c r="J118" s="187"/>
    </row>
    <row r="119" spans="1:10" x14ac:dyDescent="0.2">
      <c r="A119" s="62" t="s">
        <v>283</v>
      </c>
      <c r="B119" s="79" t="s">
        <v>29</v>
      </c>
      <c r="C119" s="225"/>
      <c r="D119" s="225"/>
      <c r="E119" s="207"/>
      <c r="F119" s="202"/>
      <c r="G119" s="202"/>
      <c r="H119" s="205"/>
      <c r="J119" s="187"/>
    </row>
    <row r="120" spans="1:10" s="23" customFormat="1" ht="31.5" x14ac:dyDescent="0.2">
      <c r="A120" s="62" t="s">
        <v>284</v>
      </c>
      <c r="B120" s="79" t="s">
        <v>47</v>
      </c>
      <c r="C120" s="35" t="s">
        <v>8</v>
      </c>
      <c r="D120" s="35">
        <v>3</v>
      </c>
      <c r="E120" s="185">
        <v>520</v>
      </c>
      <c r="F120" s="139">
        <f t="shared" ref="F120" si="20">E120*510</f>
        <v>265200</v>
      </c>
      <c r="G120" s="139">
        <f t="shared" ref="G120" si="21">D120*F120</f>
        <v>795600</v>
      </c>
      <c r="H120" s="19"/>
      <c r="J120" s="187"/>
    </row>
    <row r="121" spans="1:10" s="23" customFormat="1" ht="47.25" x14ac:dyDescent="0.2">
      <c r="A121" s="62" t="s">
        <v>285</v>
      </c>
      <c r="B121" s="79" t="s">
        <v>49</v>
      </c>
      <c r="C121" s="35" t="s">
        <v>14</v>
      </c>
      <c r="D121" s="35">
        <v>3</v>
      </c>
      <c r="E121" s="185"/>
      <c r="F121" s="184"/>
      <c r="G121" s="184"/>
      <c r="H121" s="174" t="s">
        <v>436</v>
      </c>
      <c r="J121" s="187"/>
    </row>
    <row r="122" spans="1:10" s="23" customFormat="1" x14ac:dyDescent="0.2">
      <c r="A122" s="62" t="s">
        <v>286</v>
      </c>
      <c r="B122" s="79" t="s">
        <v>30</v>
      </c>
      <c r="C122" s="35" t="s">
        <v>8</v>
      </c>
      <c r="D122" s="35">
        <v>3</v>
      </c>
      <c r="E122" s="185">
        <v>480</v>
      </c>
      <c r="F122" s="139">
        <f t="shared" ref="F122:F124" si="22">E122*510</f>
        <v>244800</v>
      </c>
      <c r="G122" s="139">
        <f t="shared" ref="G122:G124" si="23">D122*F122</f>
        <v>734400</v>
      </c>
      <c r="H122" s="19"/>
      <c r="J122" s="187"/>
    </row>
    <row r="123" spans="1:10" s="23" customFormat="1" x14ac:dyDescent="0.2">
      <c r="A123" s="62" t="s">
        <v>287</v>
      </c>
      <c r="B123" s="79" t="s">
        <v>42</v>
      </c>
      <c r="C123" s="35" t="s">
        <v>8</v>
      </c>
      <c r="D123" s="35">
        <v>1</v>
      </c>
      <c r="E123" s="185">
        <v>1100</v>
      </c>
      <c r="F123" s="139">
        <f t="shared" si="22"/>
        <v>561000</v>
      </c>
      <c r="G123" s="139">
        <f t="shared" si="23"/>
        <v>561000</v>
      </c>
      <c r="H123" s="19"/>
      <c r="J123" s="187"/>
    </row>
    <row r="124" spans="1:10" s="23" customFormat="1" ht="31.5" x14ac:dyDescent="0.2">
      <c r="A124" s="62" t="s">
        <v>288</v>
      </c>
      <c r="B124" s="79" t="s">
        <v>43</v>
      </c>
      <c r="C124" s="35" t="s">
        <v>8</v>
      </c>
      <c r="D124" s="35">
        <v>1</v>
      </c>
      <c r="E124" s="185">
        <v>1600</v>
      </c>
      <c r="F124" s="139">
        <f t="shared" si="22"/>
        <v>816000</v>
      </c>
      <c r="G124" s="139">
        <f t="shared" si="23"/>
        <v>816000</v>
      </c>
      <c r="H124" s="19"/>
      <c r="J124" s="187"/>
    </row>
    <row r="125" spans="1:10" s="23" customFormat="1" ht="31.5" x14ac:dyDescent="0.2">
      <c r="A125" s="62" t="s">
        <v>289</v>
      </c>
      <c r="B125" s="79" t="s">
        <v>48</v>
      </c>
      <c r="C125" s="35"/>
      <c r="D125" s="35"/>
      <c r="E125" s="185"/>
      <c r="F125" s="184"/>
      <c r="G125" s="184"/>
      <c r="H125" s="19"/>
      <c r="J125" s="187"/>
    </row>
    <row r="126" spans="1:10" x14ac:dyDescent="0.2">
      <c r="A126" s="62" t="s">
        <v>290</v>
      </c>
      <c r="B126" s="79" t="s">
        <v>46</v>
      </c>
      <c r="C126" s="35" t="s">
        <v>14</v>
      </c>
      <c r="D126" s="35">
        <v>1</v>
      </c>
      <c r="E126" s="185">
        <v>650</v>
      </c>
      <c r="F126" s="139">
        <f t="shared" ref="F126:F130" si="24">E126*510</f>
        <v>331500</v>
      </c>
      <c r="G126" s="139">
        <f t="shared" ref="G126:G128" si="25">D126*F126</f>
        <v>331500</v>
      </c>
      <c r="H126" s="19"/>
      <c r="J126" s="187"/>
    </row>
    <row r="127" spans="1:10" x14ac:dyDescent="0.2">
      <c r="A127" s="62" t="s">
        <v>291</v>
      </c>
      <c r="B127" s="79" t="s">
        <v>45</v>
      </c>
      <c r="C127" s="35" t="s">
        <v>14</v>
      </c>
      <c r="D127" s="35">
        <v>2</v>
      </c>
      <c r="E127" s="185">
        <v>520</v>
      </c>
      <c r="F127" s="139">
        <f t="shared" si="24"/>
        <v>265200</v>
      </c>
      <c r="G127" s="139">
        <f t="shared" si="25"/>
        <v>530400</v>
      </c>
      <c r="H127" s="19"/>
      <c r="J127" s="187"/>
    </row>
    <row r="128" spans="1:10" x14ac:dyDescent="0.2">
      <c r="A128" s="62" t="s">
        <v>292</v>
      </c>
      <c r="B128" s="79" t="s">
        <v>44</v>
      </c>
      <c r="C128" s="35" t="s">
        <v>14</v>
      </c>
      <c r="D128" s="35">
        <v>3</v>
      </c>
      <c r="E128" s="185">
        <v>650</v>
      </c>
      <c r="F128" s="139">
        <f t="shared" si="24"/>
        <v>331500</v>
      </c>
      <c r="G128" s="139">
        <f t="shared" si="25"/>
        <v>994500</v>
      </c>
      <c r="H128" s="19"/>
      <c r="J128" s="187"/>
    </row>
    <row r="129" spans="1:10" x14ac:dyDescent="0.2">
      <c r="A129" s="62" t="s">
        <v>293</v>
      </c>
      <c r="B129" s="79" t="s">
        <v>31</v>
      </c>
      <c r="C129" s="35"/>
      <c r="D129" s="35"/>
      <c r="E129" s="206">
        <v>900</v>
      </c>
      <c r="F129" s="200">
        <f t="shared" si="24"/>
        <v>459000</v>
      </c>
      <c r="G129" s="200">
        <f>F129</f>
        <v>459000</v>
      </c>
      <c r="H129" s="203"/>
      <c r="J129" s="187"/>
    </row>
    <row r="130" spans="1:10" x14ac:dyDescent="0.2">
      <c r="A130" s="62" t="s">
        <v>294</v>
      </c>
      <c r="B130" s="79" t="s">
        <v>85</v>
      </c>
      <c r="C130" s="35"/>
      <c r="D130" s="35"/>
      <c r="E130" s="207"/>
      <c r="F130" s="202">
        <f t="shared" si="24"/>
        <v>0</v>
      </c>
      <c r="G130" s="202"/>
      <c r="H130" s="205"/>
      <c r="J130" s="187"/>
    </row>
    <row r="131" spans="1:10" x14ac:dyDescent="0.2">
      <c r="A131" s="44"/>
      <c r="B131" s="38"/>
      <c r="C131" s="40"/>
      <c r="D131" s="39"/>
      <c r="E131" s="146"/>
      <c r="F131" s="146"/>
      <c r="G131" s="146"/>
      <c r="H131" s="113"/>
      <c r="J131" s="186"/>
    </row>
    <row r="132" spans="1:10" s="16" customFormat="1" ht="31.5" x14ac:dyDescent="0.2">
      <c r="A132" s="67" t="s">
        <v>295</v>
      </c>
      <c r="B132" s="28" t="s">
        <v>69</v>
      </c>
      <c r="C132" s="29" t="s">
        <v>26</v>
      </c>
      <c r="D132" s="24">
        <v>1</v>
      </c>
      <c r="E132" s="147"/>
      <c r="F132" s="147"/>
      <c r="G132" s="147"/>
      <c r="H132" s="37"/>
      <c r="J132" s="179"/>
    </row>
    <row r="133" spans="1:10" ht="110.25" x14ac:dyDescent="0.2">
      <c r="A133" s="41" t="s">
        <v>23</v>
      </c>
      <c r="B133" s="101" t="s">
        <v>210</v>
      </c>
      <c r="C133" s="34" t="s">
        <v>79</v>
      </c>
      <c r="D133" s="27">
        <v>1</v>
      </c>
      <c r="E133" s="196">
        <v>4200</v>
      </c>
      <c r="F133" s="200">
        <f t="shared" ref="F133" si="26">E133*510</f>
        <v>2142000</v>
      </c>
      <c r="G133" s="200">
        <f t="shared" ref="G133" si="27">D133*F133</f>
        <v>2142000</v>
      </c>
      <c r="H133" s="223" t="s">
        <v>427</v>
      </c>
      <c r="J133" s="162"/>
    </row>
    <row r="134" spans="1:10" ht="47.25" x14ac:dyDescent="0.2">
      <c r="A134" s="41" t="s">
        <v>24</v>
      </c>
      <c r="B134" s="79" t="s">
        <v>143</v>
      </c>
      <c r="C134" s="1" t="s">
        <v>14</v>
      </c>
      <c r="D134" s="35">
        <v>8</v>
      </c>
      <c r="E134" s="197"/>
      <c r="F134" s="201"/>
      <c r="G134" s="201"/>
      <c r="H134" s="224"/>
      <c r="J134" s="162"/>
    </row>
    <row r="135" spans="1:10" x14ac:dyDescent="0.2">
      <c r="A135" s="41" t="s">
        <v>25</v>
      </c>
      <c r="B135" s="79" t="s">
        <v>203</v>
      </c>
      <c r="C135" s="1" t="s">
        <v>22</v>
      </c>
      <c r="D135" s="35">
        <v>180</v>
      </c>
      <c r="E135" s="198"/>
      <c r="F135" s="202"/>
      <c r="G135" s="202"/>
      <c r="H135" s="225"/>
      <c r="J135" s="162"/>
    </row>
    <row r="136" spans="1:10" x14ac:dyDescent="0.2">
      <c r="A136" s="41"/>
      <c r="B136" s="2"/>
      <c r="C136" s="1"/>
      <c r="D136" s="35"/>
      <c r="E136" s="140"/>
      <c r="F136" s="163"/>
      <c r="G136" s="163"/>
      <c r="H136" s="18"/>
      <c r="J136" s="162"/>
    </row>
    <row r="137" spans="1:10" s="16" customFormat="1" x14ac:dyDescent="0.2">
      <c r="A137" s="65">
        <v>10</v>
      </c>
      <c r="B137" s="28" t="s">
        <v>34</v>
      </c>
      <c r="C137" s="29" t="s">
        <v>79</v>
      </c>
      <c r="D137" s="24">
        <v>1</v>
      </c>
      <c r="E137" s="144"/>
      <c r="F137" s="164"/>
      <c r="G137" s="164"/>
      <c r="H137" s="30"/>
      <c r="J137" s="179"/>
    </row>
    <row r="138" spans="1:10" ht="31.5" x14ac:dyDescent="0.2">
      <c r="A138" s="41" t="s">
        <v>296</v>
      </c>
      <c r="B138" s="101" t="s">
        <v>438</v>
      </c>
      <c r="C138" s="34" t="s">
        <v>14</v>
      </c>
      <c r="D138" s="27">
        <v>4</v>
      </c>
      <c r="E138" s="196">
        <v>1200</v>
      </c>
      <c r="F138" s="200">
        <f t="shared" ref="F138" si="28">E138*510</f>
        <v>612000</v>
      </c>
      <c r="G138" s="200">
        <f>F138</f>
        <v>612000</v>
      </c>
      <c r="H138" s="223" t="s">
        <v>427</v>
      </c>
      <c r="J138" s="162"/>
    </row>
    <row r="139" spans="1:10" x14ac:dyDescent="0.2">
      <c r="A139" s="41" t="s">
        <v>297</v>
      </c>
      <c r="B139" s="79" t="s">
        <v>202</v>
      </c>
      <c r="C139" s="35" t="s">
        <v>14</v>
      </c>
      <c r="D139" s="35">
        <v>4</v>
      </c>
      <c r="E139" s="197"/>
      <c r="F139" s="201"/>
      <c r="G139" s="201"/>
      <c r="H139" s="224"/>
      <c r="J139" s="162"/>
    </row>
    <row r="140" spans="1:10" ht="31.5" x14ac:dyDescent="0.2">
      <c r="A140" s="41" t="s">
        <v>298</v>
      </c>
      <c r="B140" s="79" t="s">
        <v>83</v>
      </c>
      <c r="C140" s="35"/>
      <c r="D140" s="35"/>
      <c r="E140" s="198"/>
      <c r="F140" s="202"/>
      <c r="G140" s="202"/>
      <c r="H140" s="225"/>
      <c r="J140" s="162"/>
    </row>
    <row r="141" spans="1:10" x14ac:dyDescent="0.2">
      <c r="A141" s="41"/>
      <c r="B141" s="2"/>
      <c r="C141" s="35"/>
      <c r="D141" s="35"/>
      <c r="E141" s="140"/>
      <c r="F141" s="163"/>
      <c r="G141" s="163"/>
      <c r="H141" s="18"/>
      <c r="J141" s="162"/>
    </row>
    <row r="142" spans="1:10" x14ac:dyDescent="0.2">
      <c r="A142" s="67" t="s">
        <v>299</v>
      </c>
      <c r="B142" s="25" t="s">
        <v>39</v>
      </c>
      <c r="C142" s="29" t="s">
        <v>26</v>
      </c>
      <c r="D142" s="26">
        <v>1</v>
      </c>
      <c r="E142" s="144"/>
      <c r="F142" s="164"/>
      <c r="G142" s="164"/>
      <c r="H142" s="30"/>
      <c r="J142" s="162"/>
    </row>
    <row r="143" spans="1:10" s="23" customFormat="1" x14ac:dyDescent="0.2">
      <c r="A143" s="43" t="s">
        <v>300</v>
      </c>
      <c r="B143" s="79" t="s">
        <v>84</v>
      </c>
      <c r="C143" s="21" t="s">
        <v>79</v>
      </c>
      <c r="D143" s="21">
        <v>1</v>
      </c>
      <c r="E143" s="139">
        <v>400</v>
      </c>
      <c r="F143" s="133">
        <f t="shared" ref="F143:F156" si="29">E143*510</f>
        <v>204000</v>
      </c>
      <c r="G143" s="119">
        <f t="shared" ref="G143" si="30">D143*F143</f>
        <v>204000</v>
      </c>
      <c r="H143" s="112"/>
      <c r="J143" s="177">
        <f t="shared" ref="J143:J156" si="31">G143</f>
        <v>204000</v>
      </c>
    </row>
    <row r="144" spans="1:10" s="23" customFormat="1" ht="31.5" x14ac:dyDescent="0.2">
      <c r="A144" s="43" t="s">
        <v>301</v>
      </c>
      <c r="B144" s="79" t="s">
        <v>40</v>
      </c>
      <c r="C144" s="21" t="s">
        <v>14</v>
      </c>
      <c r="D144" s="21">
        <v>1</v>
      </c>
      <c r="E144" s="139">
        <v>560</v>
      </c>
      <c r="F144" s="133">
        <f t="shared" si="29"/>
        <v>285600</v>
      </c>
      <c r="G144" s="119">
        <f t="shared" ref="G144:G156" si="32">D144*F144</f>
        <v>285600</v>
      </c>
      <c r="H144" s="18"/>
      <c r="J144" s="177">
        <f t="shared" si="31"/>
        <v>285600</v>
      </c>
    </row>
    <row r="145" spans="1:10" s="23" customFormat="1" ht="31.5" x14ac:dyDescent="0.2">
      <c r="A145" s="43" t="s">
        <v>302</v>
      </c>
      <c r="B145" s="79" t="s">
        <v>53</v>
      </c>
      <c r="C145" s="21" t="s">
        <v>14</v>
      </c>
      <c r="D145" s="21">
        <v>2</v>
      </c>
      <c r="E145" s="139">
        <v>600</v>
      </c>
      <c r="F145" s="133">
        <f t="shared" si="29"/>
        <v>306000</v>
      </c>
      <c r="G145" s="119">
        <f t="shared" si="32"/>
        <v>612000</v>
      </c>
      <c r="H145" s="18"/>
      <c r="J145" s="177">
        <f t="shared" si="31"/>
        <v>612000</v>
      </c>
    </row>
    <row r="146" spans="1:10" s="23" customFormat="1" x14ac:dyDescent="0.2">
      <c r="A146" s="43" t="s">
        <v>303</v>
      </c>
      <c r="B146" s="79" t="s">
        <v>183</v>
      </c>
      <c r="C146" s="21" t="s">
        <v>79</v>
      </c>
      <c r="D146" s="21">
        <v>1</v>
      </c>
      <c r="E146" s="139"/>
      <c r="F146" s="133">
        <f t="shared" si="29"/>
        <v>0</v>
      </c>
      <c r="G146" s="119">
        <f t="shared" si="32"/>
        <v>0</v>
      </c>
      <c r="H146" s="18"/>
      <c r="J146" s="177">
        <f t="shared" si="31"/>
        <v>0</v>
      </c>
    </row>
    <row r="147" spans="1:10" s="23" customFormat="1" ht="31.5" x14ac:dyDescent="0.2">
      <c r="A147" s="43" t="s">
        <v>304</v>
      </c>
      <c r="B147" s="79" t="s">
        <v>52</v>
      </c>
      <c r="C147" s="21" t="s">
        <v>14</v>
      </c>
      <c r="D147" s="21">
        <v>2</v>
      </c>
      <c r="E147" s="139">
        <v>800</v>
      </c>
      <c r="F147" s="133">
        <f t="shared" si="29"/>
        <v>408000</v>
      </c>
      <c r="G147" s="119">
        <f t="shared" si="32"/>
        <v>816000</v>
      </c>
      <c r="H147" s="18"/>
      <c r="J147" s="177">
        <f t="shared" si="31"/>
        <v>816000</v>
      </c>
    </row>
    <row r="148" spans="1:10" s="23" customFormat="1" ht="31.5" x14ac:dyDescent="0.2">
      <c r="A148" s="43" t="s">
        <v>305</v>
      </c>
      <c r="B148" s="79" t="s">
        <v>41</v>
      </c>
      <c r="C148" s="21" t="s">
        <v>14</v>
      </c>
      <c r="D148" s="21">
        <v>8</v>
      </c>
      <c r="E148" s="139">
        <v>200</v>
      </c>
      <c r="F148" s="133">
        <f t="shared" si="29"/>
        <v>102000</v>
      </c>
      <c r="G148" s="119">
        <f t="shared" si="32"/>
        <v>816000</v>
      </c>
      <c r="H148" s="18"/>
      <c r="J148" s="177">
        <f t="shared" si="31"/>
        <v>816000</v>
      </c>
    </row>
    <row r="149" spans="1:10" s="23" customFormat="1" ht="63" x14ac:dyDescent="0.2">
      <c r="A149" s="43" t="s">
        <v>306</v>
      </c>
      <c r="B149" s="79" t="s">
        <v>54</v>
      </c>
      <c r="C149" s="21"/>
      <c r="D149" s="21"/>
      <c r="E149" s="139"/>
      <c r="F149" s="133">
        <f t="shared" si="29"/>
        <v>0</v>
      </c>
      <c r="G149" s="119">
        <f t="shared" si="32"/>
        <v>0</v>
      </c>
      <c r="H149" s="18"/>
      <c r="J149" s="182" t="s">
        <v>434</v>
      </c>
    </row>
    <row r="150" spans="1:10" s="23" customFormat="1" x14ac:dyDescent="0.2">
      <c r="A150" s="43" t="s">
        <v>307</v>
      </c>
      <c r="B150" s="79" t="s">
        <v>66</v>
      </c>
      <c r="C150" s="21" t="s">
        <v>14</v>
      </c>
      <c r="D150" s="21">
        <v>1</v>
      </c>
      <c r="E150" s="139">
        <v>160</v>
      </c>
      <c r="F150" s="133">
        <f t="shared" si="29"/>
        <v>81600</v>
      </c>
      <c r="G150" s="119">
        <f t="shared" si="32"/>
        <v>81600</v>
      </c>
      <c r="H150" s="18"/>
      <c r="J150" s="177">
        <f t="shared" si="31"/>
        <v>81600</v>
      </c>
    </row>
    <row r="151" spans="1:10" s="23" customFormat="1" x14ac:dyDescent="0.2">
      <c r="A151" s="43" t="s">
        <v>308</v>
      </c>
      <c r="B151" s="79" t="s">
        <v>67</v>
      </c>
      <c r="C151" s="21" t="s">
        <v>14</v>
      </c>
      <c r="D151" s="21">
        <v>2</v>
      </c>
      <c r="E151" s="139">
        <v>160</v>
      </c>
      <c r="F151" s="133">
        <f t="shared" si="29"/>
        <v>81600</v>
      </c>
      <c r="G151" s="119">
        <f t="shared" si="32"/>
        <v>163200</v>
      </c>
      <c r="H151" s="18"/>
      <c r="J151" s="177">
        <f t="shared" si="31"/>
        <v>163200</v>
      </c>
    </row>
    <row r="152" spans="1:10" s="23" customFormat="1" x14ac:dyDescent="0.2">
      <c r="A152" s="43" t="s">
        <v>309</v>
      </c>
      <c r="B152" s="79" t="s">
        <v>55</v>
      </c>
      <c r="C152" s="21" t="s">
        <v>14</v>
      </c>
      <c r="D152" s="21">
        <v>2</v>
      </c>
      <c r="E152" s="139">
        <v>160</v>
      </c>
      <c r="F152" s="133">
        <f t="shared" si="29"/>
        <v>81600</v>
      </c>
      <c r="G152" s="119">
        <f t="shared" si="32"/>
        <v>163200</v>
      </c>
      <c r="H152" s="18"/>
      <c r="J152" s="177">
        <f t="shared" si="31"/>
        <v>163200</v>
      </c>
    </row>
    <row r="153" spans="1:10" s="23" customFormat="1" x14ac:dyDescent="0.2">
      <c r="A153" s="43" t="s">
        <v>310</v>
      </c>
      <c r="B153" s="79" t="s">
        <v>56</v>
      </c>
      <c r="C153" s="21" t="s">
        <v>14</v>
      </c>
      <c r="D153" s="21">
        <v>2</v>
      </c>
      <c r="E153" s="139">
        <v>160</v>
      </c>
      <c r="F153" s="133">
        <f t="shared" si="29"/>
        <v>81600</v>
      </c>
      <c r="G153" s="119">
        <f t="shared" si="32"/>
        <v>163200</v>
      </c>
      <c r="H153" s="18"/>
      <c r="J153" s="177">
        <f t="shared" si="31"/>
        <v>163200</v>
      </c>
    </row>
    <row r="154" spans="1:10" s="23" customFormat="1" x14ac:dyDescent="0.2">
      <c r="A154" s="43" t="s">
        <v>311</v>
      </c>
      <c r="B154" s="79" t="s">
        <v>57</v>
      </c>
      <c r="C154" s="21" t="s">
        <v>14</v>
      </c>
      <c r="D154" s="21">
        <v>3</v>
      </c>
      <c r="E154" s="139">
        <v>160</v>
      </c>
      <c r="F154" s="133">
        <f t="shared" si="29"/>
        <v>81600</v>
      </c>
      <c r="G154" s="119">
        <f t="shared" si="32"/>
        <v>244800</v>
      </c>
      <c r="H154" s="18"/>
      <c r="J154" s="177">
        <f t="shared" si="31"/>
        <v>244800</v>
      </c>
    </row>
    <row r="155" spans="1:10" s="23" customFormat="1" x14ac:dyDescent="0.2">
      <c r="A155" s="43" t="s">
        <v>312</v>
      </c>
      <c r="B155" s="79" t="s">
        <v>185</v>
      </c>
      <c r="C155" s="21" t="s">
        <v>182</v>
      </c>
      <c r="D155" s="21">
        <v>10</v>
      </c>
      <c r="E155" s="139">
        <v>180</v>
      </c>
      <c r="F155" s="133">
        <f t="shared" si="29"/>
        <v>91800</v>
      </c>
      <c r="G155" s="119">
        <f t="shared" si="32"/>
        <v>918000</v>
      </c>
      <c r="H155" s="18"/>
      <c r="J155" s="177">
        <f t="shared" si="31"/>
        <v>918000</v>
      </c>
    </row>
    <row r="156" spans="1:10" s="23" customFormat="1" x14ac:dyDescent="0.2">
      <c r="A156" s="43" t="s">
        <v>313</v>
      </c>
      <c r="B156" s="79" t="s">
        <v>205</v>
      </c>
      <c r="C156" s="21" t="s">
        <v>182</v>
      </c>
      <c r="D156" s="21">
        <v>200</v>
      </c>
      <c r="E156" s="139">
        <v>6</v>
      </c>
      <c r="F156" s="133">
        <f t="shared" si="29"/>
        <v>3060</v>
      </c>
      <c r="G156" s="119">
        <f t="shared" si="32"/>
        <v>612000</v>
      </c>
      <c r="H156" s="18"/>
      <c r="J156" s="177">
        <f t="shared" si="31"/>
        <v>612000</v>
      </c>
    </row>
    <row r="157" spans="1:10" s="23" customFormat="1" x14ac:dyDescent="0.2">
      <c r="A157" s="43"/>
      <c r="B157" s="2"/>
      <c r="C157" s="21"/>
      <c r="D157" s="21"/>
      <c r="E157" s="146"/>
      <c r="F157" s="146"/>
      <c r="G157" s="146"/>
      <c r="H157" s="113"/>
      <c r="J157" s="180"/>
    </row>
    <row r="158" spans="1:10" x14ac:dyDescent="0.2">
      <c r="A158" s="67" t="s">
        <v>314</v>
      </c>
      <c r="B158" s="25" t="s">
        <v>58</v>
      </c>
      <c r="C158" s="26"/>
      <c r="D158" s="26"/>
      <c r="E158" s="143"/>
      <c r="F158" s="143"/>
      <c r="G158" s="143"/>
      <c r="H158" s="32"/>
      <c r="J158" s="162"/>
    </row>
    <row r="159" spans="1:10" ht="63" x14ac:dyDescent="0.2">
      <c r="A159" s="44" t="s">
        <v>27</v>
      </c>
      <c r="B159" s="79" t="s">
        <v>144</v>
      </c>
      <c r="C159" s="107" t="s">
        <v>59</v>
      </c>
      <c r="D159" s="107">
        <v>1</v>
      </c>
      <c r="E159" s="166"/>
      <c r="F159" s="140"/>
      <c r="G159" s="140"/>
      <c r="H159" s="18"/>
      <c r="J159" s="182" t="s">
        <v>434</v>
      </c>
    </row>
    <row r="160" spans="1:10" x14ac:dyDescent="0.2">
      <c r="A160" s="41"/>
      <c r="B160" s="2"/>
      <c r="C160" s="35"/>
      <c r="D160" s="35"/>
      <c r="E160" s="160"/>
      <c r="F160" s="145"/>
      <c r="G160" s="145"/>
      <c r="H160" s="19"/>
      <c r="J160" s="162"/>
    </row>
    <row r="161" spans="1:10" x14ac:dyDescent="0.2">
      <c r="A161" s="67" t="s">
        <v>315</v>
      </c>
      <c r="B161" s="25" t="s">
        <v>61</v>
      </c>
      <c r="C161" s="33" t="s">
        <v>14</v>
      </c>
      <c r="D161" s="26">
        <v>2</v>
      </c>
      <c r="E161" s="140"/>
      <c r="F161" s="140"/>
      <c r="G161" s="140"/>
      <c r="H161" s="18"/>
      <c r="J161" s="162"/>
    </row>
    <row r="162" spans="1:10" ht="47.25" x14ac:dyDescent="0.2">
      <c r="A162" s="41" t="s">
        <v>316</v>
      </c>
      <c r="B162" s="101" t="s">
        <v>209</v>
      </c>
      <c r="C162" s="34" t="s">
        <v>14</v>
      </c>
      <c r="D162" s="35">
        <v>2</v>
      </c>
      <c r="E162" s="139">
        <v>2200</v>
      </c>
      <c r="F162" s="133">
        <f t="shared" ref="F162:F163" si="33">E162*510</f>
        <v>1122000</v>
      </c>
      <c r="G162" s="119">
        <f>D162*F162</f>
        <v>2244000</v>
      </c>
      <c r="H162" s="113"/>
      <c r="J162" s="177">
        <f t="shared" ref="J162:J163" si="34">G162</f>
        <v>2244000</v>
      </c>
    </row>
    <row r="163" spans="1:10" ht="31.5" x14ac:dyDescent="0.2">
      <c r="A163" s="41" t="s">
        <v>317</v>
      </c>
      <c r="B163" s="79" t="s">
        <v>60</v>
      </c>
      <c r="C163" s="1" t="s">
        <v>11</v>
      </c>
      <c r="D163" s="27">
        <v>140</v>
      </c>
      <c r="E163" s="139">
        <v>25</v>
      </c>
      <c r="F163" s="133">
        <f t="shared" si="33"/>
        <v>12750</v>
      </c>
      <c r="G163" s="119">
        <f>D163*F163</f>
        <v>1785000</v>
      </c>
      <c r="H163" s="18"/>
      <c r="J163" s="177">
        <f t="shared" si="34"/>
        <v>1785000</v>
      </c>
    </row>
    <row r="164" spans="1:10" x14ac:dyDescent="0.2">
      <c r="A164" s="41"/>
      <c r="B164" s="41"/>
      <c r="C164" s="1"/>
      <c r="D164" s="59"/>
      <c r="E164" s="140"/>
      <c r="F164" s="140"/>
      <c r="G164" s="140"/>
      <c r="H164" s="18"/>
      <c r="J164" s="162"/>
    </row>
    <row r="165" spans="1:10" ht="31.5" x14ac:dyDescent="0.2">
      <c r="A165" s="48" t="s">
        <v>111</v>
      </c>
      <c r="B165" s="25" t="s">
        <v>192</v>
      </c>
      <c r="C165" s="26"/>
      <c r="D165" s="26"/>
      <c r="E165" s="143"/>
      <c r="F165" s="143"/>
      <c r="G165" s="143"/>
      <c r="H165" s="32"/>
      <c r="J165" s="162"/>
    </row>
    <row r="166" spans="1:10" ht="63" x14ac:dyDescent="0.2">
      <c r="A166" s="41"/>
      <c r="B166" s="100" t="s">
        <v>88</v>
      </c>
      <c r="C166" s="39" t="s">
        <v>14</v>
      </c>
      <c r="D166" s="35">
        <v>2</v>
      </c>
      <c r="E166" s="165">
        <v>6500</v>
      </c>
      <c r="F166" s="167">
        <f t="shared" ref="F166" si="35">E166*510</f>
        <v>3315000</v>
      </c>
      <c r="G166" s="119">
        <f>D166*F166</f>
        <v>6630000</v>
      </c>
      <c r="H166" s="107" t="s">
        <v>435</v>
      </c>
      <c r="J166" s="177">
        <f t="shared" ref="J166" si="36">G166</f>
        <v>6630000</v>
      </c>
    </row>
    <row r="167" spans="1:10" x14ac:dyDescent="0.25">
      <c r="A167" s="41"/>
      <c r="B167" s="99" t="s">
        <v>342</v>
      </c>
      <c r="C167" s="93"/>
      <c r="D167" s="93"/>
      <c r="E167" s="170"/>
      <c r="F167" s="168"/>
      <c r="G167" s="119"/>
      <c r="H167" s="22"/>
      <c r="J167" s="162"/>
    </row>
    <row r="168" spans="1:10" ht="47.25" x14ac:dyDescent="0.2">
      <c r="A168" s="41"/>
      <c r="B168" s="97" t="s">
        <v>395</v>
      </c>
      <c r="C168" s="93" t="s">
        <v>14</v>
      </c>
      <c r="D168" s="93">
        <v>2</v>
      </c>
      <c r="E168" s="170">
        <v>500</v>
      </c>
      <c r="F168" s="168">
        <f t="shared" ref="F168" si="37">E168*510</f>
        <v>255000</v>
      </c>
      <c r="G168" s="119">
        <f>D168*F168</f>
        <v>510000</v>
      </c>
      <c r="H168" s="21" t="s">
        <v>439</v>
      </c>
      <c r="J168" s="177">
        <f t="shared" ref="J168" si="38">G168</f>
        <v>510000</v>
      </c>
    </row>
    <row r="169" spans="1:10" x14ac:dyDescent="0.25">
      <c r="A169" s="41"/>
      <c r="B169" s="99" t="s">
        <v>343</v>
      </c>
      <c r="C169" s="93"/>
      <c r="D169" s="93"/>
      <c r="E169" s="153"/>
      <c r="F169" s="146"/>
      <c r="G169" s="146"/>
      <c r="H169" s="113"/>
      <c r="J169" s="162"/>
    </row>
    <row r="170" spans="1:10" x14ac:dyDescent="0.2">
      <c r="A170" s="41"/>
      <c r="B170" s="97" t="s">
        <v>344</v>
      </c>
      <c r="C170" s="93" t="s">
        <v>125</v>
      </c>
      <c r="D170" s="93">
        <v>2</v>
      </c>
      <c r="E170" s="193"/>
      <c r="F170" s="196"/>
      <c r="G170" s="196"/>
      <c r="H170" s="191" t="s">
        <v>440</v>
      </c>
      <c r="J170" s="188">
        <f>G170</f>
        <v>0</v>
      </c>
    </row>
    <row r="171" spans="1:10" x14ac:dyDescent="0.2">
      <c r="A171" s="41"/>
      <c r="B171" s="97" t="s">
        <v>345</v>
      </c>
      <c r="C171" s="98" t="s">
        <v>125</v>
      </c>
      <c r="D171" s="93">
        <v>2</v>
      </c>
      <c r="E171" s="194"/>
      <c r="F171" s="197"/>
      <c r="G171" s="197"/>
      <c r="H171" s="199"/>
      <c r="J171" s="189"/>
    </row>
    <row r="172" spans="1:10" x14ac:dyDescent="0.2">
      <c r="A172" s="41"/>
      <c r="B172" s="97" t="s">
        <v>346</v>
      </c>
      <c r="C172" s="98" t="s">
        <v>125</v>
      </c>
      <c r="D172" s="98">
        <v>2</v>
      </c>
      <c r="E172" s="194"/>
      <c r="F172" s="197"/>
      <c r="G172" s="197"/>
      <c r="H172" s="199"/>
      <c r="J172" s="189"/>
    </row>
    <row r="173" spans="1:10" x14ac:dyDescent="0.25">
      <c r="A173" s="41"/>
      <c r="B173" s="99" t="s">
        <v>347</v>
      </c>
      <c r="C173" s="98"/>
      <c r="D173" s="98"/>
      <c r="E173" s="194"/>
      <c r="F173" s="197"/>
      <c r="G173" s="197"/>
      <c r="H173" s="199"/>
      <c r="J173" s="189"/>
    </row>
    <row r="174" spans="1:10" x14ac:dyDescent="0.2">
      <c r="A174" s="41"/>
      <c r="B174" s="97" t="s">
        <v>348</v>
      </c>
      <c r="C174" s="98" t="s">
        <v>125</v>
      </c>
      <c r="D174" s="98">
        <v>2</v>
      </c>
      <c r="E174" s="194"/>
      <c r="F174" s="197"/>
      <c r="G174" s="197"/>
      <c r="H174" s="199"/>
      <c r="J174" s="189"/>
    </row>
    <row r="175" spans="1:10" x14ac:dyDescent="0.2">
      <c r="A175" s="41"/>
      <c r="B175" s="97" t="s">
        <v>349</v>
      </c>
      <c r="C175" s="98" t="s">
        <v>125</v>
      </c>
      <c r="D175" s="98">
        <v>2</v>
      </c>
      <c r="E175" s="194"/>
      <c r="F175" s="197"/>
      <c r="G175" s="197"/>
      <c r="H175" s="199"/>
      <c r="J175" s="189"/>
    </row>
    <row r="176" spans="1:10" x14ac:dyDescent="0.25">
      <c r="A176" s="41"/>
      <c r="B176" s="99" t="s">
        <v>351</v>
      </c>
      <c r="C176" s="98"/>
      <c r="D176" s="98"/>
      <c r="E176" s="194"/>
      <c r="F176" s="197"/>
      <c r="G176" s="197"/>
      <c r="H176" s="199"/>
      <c r="J176" s="189"/>
    </row>
    <row r="177" spans="1:10" x14ac:dyDescent="0.2">
      <c r="A177" s="41"/>
      <c r="B177" s="97" t="s">
        <v>348</v>
      </c>
      <c r="C177" s="98" t="s">
        <v>125</v>
      </c>
      <c r="D177" s="98">
        <v>2</v>
      </c>
      <c r="E177" s="194"/>
      <c r="F177" s="197"/>
      <c r="G177" s="197"/>
      <c r="H177" s="199"/>
      <c r="J177" s="189"/>
    </row>
    <row r="178" spans="1:10" x14ac:dyDescent="0.2">
      <c r="A178" s="41"/>
      <c r="B178" s="97" t="s">
        <v>352</v>
      </c>
      <c r="C178" s="98" t="s">
        <v>125</v>
      </c>
      <c r="D178" s="98">
        <v>2</v>
      </c>
      <c r="E178" s="194"/>
      <c r="F178" s="197"/>
      <c r="G178" s="197"/>
      <c r="H178" s="199"/>
      <c r="J178" s="189"/>
    </row>
    <row r="179" spans="1:10" x14ac:dyDescent="0.2">
      <c r="A179" s="41"/>
      <c r="B179" s="97" t="s">
        <v>350</v>
      </c>
      <c r="C179" s="98" t="s">
        <v>125</v>
      </c>
      <c r="D179" s="98">
        <v>2</v>
      </c>
      <c r="E179" s="194"/>
      <c r="F179" s="197"/>
      <c r="G179" s="197"/>
      <c r="H179" s="199"/>
      <c r="J179" s="189"/>
    </row>
    <row r="180" spans="1:10" x14ac:dyDescent="0.2">
      <c r="A180" s="41"/>
      <c r="B180" s="97" t="s">
        <v>353</v>
      </c>
      <c r="C180" s="98" t="s">
        <v>125</v>
      </c>
      <c r="D180" s="98">
        <v>2</v>
      </c>
      <c r="E180" s="194"/>
      <c r="F180" s="197"/>
      <c r="G180" s="197"/>
      <c r="H180" s="199"/>
      <c r="J180" s="189"/>
    </row>
    <row r="181" spans="1:10" x14ac:dyDescent="0.25">
      <c r="A181" s="41"/>
      <c r="B181" s="99" t="s">
        <v>354</v>
      </c>
      <c r="C181" s="98"/>
      <c r="D181" s="98"/>
      <c r="E181" s="194"/>
      <c r="F181" s="197"/>
      <c r="G181" s="197"/>
      <c r="H181" s="199"/>
      <c r="J181" s="189"/>
    </row>
    <row r="182" spans="1:10" x14ac:dyDescent="0.2">
      <c r="A182" s="41"/>
      <c r="B182" s="97" t="s">
        <v>355</v>
      </c>
      <c r="C182" s="98" t="s">
        <v>125</v>
      </c>
      <c r="D182" s="98">
        <v>2</v>
      </c>
      <c r="E182" s="194"/>
      <c r="F182" s="197"/>
      <c r="G182" s="197"/>
      <c r="H182" s="199"/>
      <c r="J182" s="189"/>
    </row>
    <row r="183" spans="1:10" x14ac:dyDescent="0.2">
      <c r="A183" s="41"/>
      <c r="B183" s="97" t="s">
        <v>356</v>
      </c>
      <c r="C183" s="98" t="s">
        <v>125</v>
      </c>
      <c r="D183" s="98">
        <v>2</v>
      </c>
      <c r="E183" s="194"/>
      <c r="F183" s="197"/>
      <c r="G183" s="197"/>
      <c r="H183" s="199"/>
      <c r="J183" s="189"/>
    </row>
    <row r="184" spans="1:10" x14ac:dyDescent="0.2">
      <c r="A184" s="41"/>
      <c r="B184" s="97" t="s">
        <v>357</v>
      </c>
      <c r="C184" s="98" t="s">
        <v>125</v>
      </c>
      <c r="D184" s="98">
        <v>2</v>
      </c>
      <c r="E184" s="194"/>
      <c r="F184" s="197"/>
      <c r="G184" s="197"/>
      <c r="H184" s="199"/>
      <c r="J184" s="189"/>
    </row>
    <row r="185" spans="1:10" x14ac:dyDescent="0.25">
      <c r="A185" s="41"/>
      <c r="B185" s="99" t="s">
        <v>358</v>
      </c>
      <c r="C185" s="98"/>
      <c r="D185" s="98"/>
      <c r="E185" s="194"/>
      <c r="F185" s="197"/>
      <c r="G185" s="197"/>
      <c r="H185" s="199"/>
      <c r="J185" s="189"/>
    </row>
    <row r="186" spans="1:10" x14ac:dyDescent="0.2">
      <c r="A186" s="41"/>
      <c r="B186" s="97" t="s">
        <v>360</v>
      </c>
      <c r="C186" s="98" t="s">
        <v>125</v>
      </c>
      <c r="D186" s="98">
        <v>2</v>
      </c>
      <c r="E186" s="194"/>
      <c r="F186" s="197"/>
      <c r="G186" s="197"/>
      <c r="H186" s="199"/>
      <c r="J186" s="189"/>
    </row>
    <row r="187" spans="1:10" x14ac:dyDescent="0.2">
      <c r="A187" s="41"/>
      <c r="B187" s="97" t="s">
        <v>361</v>
      </c>
      <c r="C187" s="98" t="s">
        <v>125</v>
      </c>
      <c r="D187" s="98">
        <v>2</v>
      </c>
      <c r="E187" s="194"/>
      <c r="F187" s="197"/>
      <c r="G187" s="197"/>
      <c r="H187" s="199"/>
      <c r="J187" s="189"/>
    </row>
    <row r="188" spans="1:10" x14ac:dyDescent="0.2">
      <c r="A188" s="41"/>
      <c r="B188" s="97" t="s">
        <v>359</v>
      </c>
      <c r="C188" s="98" t="s">
        <v>125</v>
      </c>
      <c r="D188" s="98">
        <v>2</v>
      </c>
      <c r="E188" s="194"/>
      <c r="F188" s="197"/>
      <c r="G188" s="197"/>
      <c r="H188" s="199"/>
      <c r="J188" s="189"/>
    </row>
    <row r="189" spans="1:10" x14ac:dyDescent="0.2">
      <c r="A189" s="41"/>
      <c r="B189" s="97" t="s">
        <v>353</v>
      </c>
      <c r="C189" s="98" t="s">
        <v>125</v>
      </c>
      <c r="D189" s="98">
        <v>2</v>
      </c>
      <c r="E189" s="194"/>
      <c r="F189" s="197"/>
      <c r="G189" s="197"/>
      <c r="H189" s="199"/>
      <c r="J189" s="189"/>
    </row>
    <row r="190" spans="1:10" x14ac:dyDescent="0.25">
      <c r="A190" s="41"/>
      <c r="B190" s="99" t="s">
        <v>362</v>
      </c>
      <c r="C190" s="98"/>
      <c r="D190" s="98"/>
      <c r="E190" s="194"/>
      <c r="F190" s="197"/>
      <c r="G190" s="197"/>
      <c r="H190" s="199"/>
      <c r="J190" s="189"/>
    </row>
    <row r="191" spans="1:10" x14ac:dyDescent="0.2">
      <c r="A191" s="41"/>
      <c r="B191" s="97" t="s">
        <v>363</v>
      </c>
      <c r="C191" s="98" t="s">
        <v>125</v>
      </c>
      <c r="D191" s="98">
        <v>2</v>
      </c>
      <c r="E191" s="194"/>
      <c r="F191" s="197"/>
      <c r="G191" s="197"/>
      <c r="H191" s="199"/>
      <c r="J191" s="189"/>
    </row>
    <row r="192" spans="1:10" x14ac:dyDescent="0.2">
      <c r="A192" s="41"/>
      <c r="B192" s="97" t="s">
        <v>364</v>
      </c>
      <c r="C192" s="98" t="s">
        <v>125</v>
      </c>
      <c r="D192" s="98">
        <v>2</v>
      </c>
      <c r="E192" s="194"/>
      <c r="F192" s="197"/>
      <c r="G192" s="197"/>
      <c r="H192" s="199"/>
      <c r="J192" s="189"/>
    </row>
    <row r="193" spans="1:10" x14ac:dyDescent="0.25">
      <c r="A193" s="41"/>
      <c r="B193" s="99" t="s">
        <v>365</v>
      </c>
      <c r="C193" s="98"/>
      <c r="D193" s="98"/>
      <c r="E193" s="194"/>
      <c r="F193" s="197"/>
      <c r="G193" s="197"/>
      <c r="H193" s="199"/>
      <c r="J193" s="189"/>
    </row>
    <row r="194" spans="1:10" x14ac:dyDescent="0.2">
      <c r="A194" s="41"/>
      <c r="B194" s="97" t="s">
        <v>346</v>
      </c>
      <c r="C194" s="98" t="s">
        <v>125</v>
      </c>
      <c r="D194" s="98">
        <v>2</v>
      </c>
      <c r="E194" s="194"/>
      <c r="F194" s="197"/>
      <c r="G194" s="197"/>
      <c r="H194" s="199"/>
      <c r="J194" s="189"/>
    </row>
    <row r="195" spans="1:10" x14ac:dyDescent="0.25">
      <c r="A195" s="41"/>
      <c r="B195" s="99" t="s">
        <v>366</v>
      </c>
      <c r="C195" s="98"/>
      <c r="D195" s="98"/>
      <c r="E195" s="194"/>
      <c r="F195" s="197"/>
      <c r="G195" s="197"/>
      <c r="H195" s="199"/>
      <c r="J195" s="189"/>
    </row>
    <row r="196" spans="1:10" x14ac:dyDescent="0.2">
      <c r="A196" s="41"/>
      <c r="B196" s="97" t="s">
        <v>367</v>
      </c>
      <c r="C196" s="98" t="s">
        <v>125</v>
      </c>
      <c r="D196" s="98">
        <v>2</v>
      </c>
      <c r="E196" s="194"/>
      <c r="F196" s="197"/>
      <c r="G196" s="197"/>
      <c r="H196" s="199"/>
      <c r="J196" s="189"/>
    </row>
    <row r="197" spans="1:10" x14ac:dyDescent="0.2">
      <c r="A197" s="41"/>
      <c r="B197" s="97" t="s">
        <v>368</v>
      </c>
      <c r="C197" s="98" t="s">
        <v>125</v>
      </c>
      <c r="D197" s="98">
        <v>2</v>
      </c>
      <c r="E197" s="194"/>
      <c r="F197" s="197"/>
      <c r="G197" s="197"/>
      <c r="H197" s="199"/>
      <c r="J197" s="189"/>
    </row>
    <row r="198" spans="1:10" x14ac:dyDescent="0.25">
      <c r="A198" s="41"/>
      <c r="B198" s="99" t="s">
        <v>369</v>
      </c>
      <c r="C198" s="98"/>
      <c r="D198" s="98"/>
      <c r="E198" s="194"/>
      <c r="F198" s="197"/>
      <c r="G198" s="197"/>
      <c r="H198" s="199"/>
      <c r="J198" s="189"/>
    </row>
    <row r="199" spans="1:10" x14ac:dyDescent="0.2">
      <c r="A199" s="41"/>
      <c r="B199" s="97" t="s">
        <v>370</v>
      </c>
      <c r="C199" s="98" t="s">
        <v>125</v>
      </c>
      <c r="D199" s="98">
        <v>2</v>
      </c>
      <c r="E199" s="194"/>
      <c r="F199" s="197"/>
      <c r="G199" s="197"/>
      <c r="H199" s="199"/>
      <c r="J199" s="189"/>
    </row>
    <row r="200" spans="1:10" x14ac:dyDescent="0.25">
      <c r="A200" s="41"/>
      <c r="B200" s="99" t="s">
        <v>371</v>
      </c>
      <c r="C200" s="98"/>
      <c r="D200" s="98"/>
      <c r="E200" s="194"/>
      <c r="F200" s="197"/>
      <c r="G200" s="197"/>
      <c r="H200" s="199"/>
      <c r="J200" s="189"/>
    </row>
    <row r="201" spans="1:10" x14ac:dyDescent="0.2">
      <c r="A201" s="41"/>
      <c r="B201" s="97" t="s">
        <v>372</v>
      </c>
      <c r="C201" s="98" t="s">
        <v>125</v>
      </c>
      <c r="D201" s="98">
        <v>2</v>
      </c>
      <c r="E201" s="194"/>
      <c r="F201" s="197"/>
      <c r="G201" s="197"/>
      <c r="H201" s="199"/>
      <c r="J201" s="189"/>
    </row>
    <row r="202" spans="1:10" x14ac:dyDescent="0.25">
      <c r="A202" s="41"/>
      <c r="B202" s="99" t="s">
        <v>373</v>
      </c>
      <c r="C202" s="98"/>
      <c r="D202" s="98"/>
      <c r="E202" s="194"/>
      <c r="F202" s="197"/>
      <c r="G202" s="197"/>
      <c r="H202" s="199"/>
      <c r="J202" s="189"/>
    </row>
    <row r="203" spans="1:10" x14ac:dyDescent="0.2">
      <c r="A203" s="41"/>
      <c r="B203" s="97" t="s">
        <v>374</v>
      </c>
      <c r="C203" s="98" t="s">
        <v>125</v>
      </c>
      <c r="D203" s="98">
        <v>2</v>
      </c>
      <c r="E203" s="194"/>
      <c r="F203" s="197"/>
      <c r="G203" s="197"/>
      <c r="H203" s="199"/>
      <c r="J203" s="189"/>
    </row>
    <row r="204" spans="1:10" x14ac:dyDescent="0.2">
      <c r="A204" s="41"/>
      <c r="B204" s="97" t="s">
        <v>375</v>
      </c>
      <c r="C204" s="98" t="s">
        <v>125</v>
      </c>
      <c r="D204" s="98">
        <v>2</v>
      </c>
      <c r="E204" s="194"/>
      <c r="F204" s="197"/>
      <c r="G204" s="197"/>
      <c r="H204" s="199"/>
      <c r="J204" s="189"/>
    </row>
    <row r="205" spans="1:10" x14ac:dyDescent="0.25">
      <c r="A205" s="41"/>
      <c r="B205" s="99" t="s">
        <v>376</v>
      </c>
      <c r="C205" s="98"/>
      <c r="D205" s="98"/>
      <c r="E205" s="194"/>
      <c r="F205" s="197"/>
      <c r="G205" s="197"/>
      <c r="H205" s="199"/>
      <c r="J205" s="189"/>
    </row>
    <row r="206" spans="1:10" x14ac:dyDescent="0.2">
      <c r="A206" s="41"/>
      <c r="B206" s="97" t="s">
        <v>346</v>
      </c>
      <c r="C206" s="98" t="s">
        <v>125</v>
      </c>
      <c r="D206" s="98">
        <v>2</v>
      </c>
      <c r="E206" s="194"/>
      <c r="F206" s="197"/>
      <c r="G206" s="197"/>
      <c r="H206" s="199"/>
      <c r="J206" s="189"/>
    </row>
    <row r="207" spans="1:10" x14ac:dyDescent="0.25">
      <c r="A207" s="41"/>
      <c r="B207" s="99" t="s">
        <v>377</v>
      </c>
      <c r="C207" s="98"/>
      <c r="D207" s="98"/>
      <c r="E207" s="194"/>
      <c r="F207" s="197"/>
      <c r="G207" s="197"/>
      <c r="H207" s="199"/>
      <c r="J207" s="189"/>
    </row>
    <row r="208" spans="1:10" x14ac:dyDescent="0.2">
      <c r="A208" s="41"/>
      <c r="B208" s="97" t="s">
        <v>378</v>
      </c>
      <c r="C208" s="98" t="s">
        <v>125</v>
      </c>
      <c r="D208" s="98">
        <v>2</v>
      </c>
      <c r="E208" s="194"/>
      <c r="F208" s="197"/>
      <c r="G208" s="197"/>
      <c r="H208" s="199"/>
      <c r="J208" s="189"/>
    </row>
    <row r="209" spans="1:10" x14ac:dyDescent="0.25">
      <c r="A209" s="41"/>
      <c r="B209" s="99" t="s">
        <v>379</v>
      </c>
      <c r="C209" s="98"/>
      <c r="D209" s="98"/>
      <c r="E209" s="194"/>
      <c r="F209" s="197"/>
      <c r="G209" s="197"/>
      <c r="H209" s="199"/>
      <c r="J209" s="189"/>
    </row>
    <row r="210" spans="1:10" x14ac:dyDescent="0.2">
      <c r="A210" s="41"/>
      <c r="B210" s="97" t="s">
        <v>380</v>
      </c>
      <c r="C210" s="98" t="s">
        <v>125</v>
      </c>
      <c r="D210" s="98">
        <v>2</v>
      </c>
      <c r="E210" s="194"/>
      <c r="F210" s="197"/>
      <c r="G210" s="197"/>
      <c r="H210" s="199"/>
      <c r="J210" s="189"/>
    </row>
    <row r="211" spans="1:10" x14ac:dyDescent="0.2">
      <c r="A211" s="41"/>
      <c r="B211" s="97" t="s">
        <v>381</v>
      </c>
      <c r="C211" s="98" t="s">
        <v>125</v>
      </c>
      <c r="D211" s="98">
        <v>2</v>
      </c>
      <c r="E211" s="194"/>
      <c r="F211" s="197"/>
      <c r="G211" s="197"/>
      <c r="H211" s="199"/>
      <c r="J211" s="189"/>
    </row>
    <row r="212" spans="1:10" x14ac:dyDescent="0.25">
      <c r="A212" s="41"/>
      <c r="B212" s="99" t="s">
        <v>382</v>
      </c>
      <c r="C212" s="98"/>
      <c r="D212" s="98"/>
      <c r="E212" s="194"/>
      <c r="F212" s="197"/>
      <c r="G212" s="197"/>
      <c r="H212" s="199"/>
      <c r="J212" s="189"/>
    </row>
    <row r="213" spans="1:10" x14ac:dyDescent="0.2">
      <c r="A213" s="41"/>
      <c r="B213" s="97" t="s">
        <v>383</v>
      </c>
      <c r="C213" s="98" t="s">
        <v>125</v>
      </c>
      <c r="D213" s="98">
        <v>2</v>
      </c>
      <c r="E213" s="194"/>
      <c r="F213" s="197"/>
      <c r="G213" s="197"/>
      <c r="H213" s="199"/>
      <c r="J213" s="189"/>
    </row>
    <row r="214" spans="1:10" x14ac:dyDescent="0.25">
      <c r="A214" s="41"/>
      <c r="B214" s="99" t="s">
        <v>384</v>
      </c>
      <c r="C214" s="98"/>
      <c r="D214" s="98"/>
      <c r="E214" s="194"/>
      <c r="F214" s="197"/>
      <c r="G214" s="197"/>
      <c r="H214" s="199"/>
      <c r="J214" s="189"/>
    </row>
    <row r="215" spans="1:10" x14ac:dyDescent="0.2">
      <c r="A215" s="41"/>
      <c r="B215" s="97" t="s">
        <v>385</v>
      </c>
      <c r="C215" s="98" t="s">
        <v>125</v>
      </c>
      <c r="D215" s="98">
        <v>2</v>
      </c>
      <c r="E215" s="194"/>
      <c r="F215" s="197"/>
      <c r="G215" s="197"/>
      <c r="H215" s="199"/>
      <c r="J215" s="189"/>
    </row>
    <row r="216" spans="1:10" x14ac:dyDescent="0.25">
      <c r="A216" s="41"/>
      <c r="B216" s="99" t="s">
        <v>386</v>
      </c>
      <c r="C216" s="98"/>
      <c r="D216" s="98"/>
      <c r="E216" s="194"/>
      <c r="F216" s="197"/>
      <c r="G216" s="197"/>
      <c r="H216" s="199"/>
      <c r="J216" s="189"/>
    </row>
    <row r="217" spans="1:10" x14ac:dyDescent="0.2">
      <c r="A217" s="41"/>
      <c r="B217" s="97" t="s">
        <v>387</v>
      </c>
      <c r="C217" s="98" t="s">
        <v>125</v>
      </c>
      <c r="D217" s="98">
        <v>2</v>
      </c>
      <c r="E217" s="194"/>
      <c r="F217" s="197"/>
      <c r="G217" s="197"/>
      <c r="H217" s="199"/>
      <c r="J217" s="189"/>
    </row>
    <row r="218" spans="1:10" x14ac:dyDescent="0.25">
      <c r="A218" s="41"/>
      <c r="B218" s="99" t="s">
        <v>388</v>
      </c>
      <c r="C218" s="98"/>
      <c r="D218" s="98"/>
      <c r="E218" s="194"/>
      <c r="F218" s="197"/>
      <c r="G218" s="197"/>
      <c r="H218" s="199"/>
      <c r="J218" s="189"/>
    </row>
    <row r="219" spans="1:10" x14ac:dyDescent="0.2">
      <c r="A219" s="41"/>
      <c r="B219" s="97" t="s">
        <v>398</v>
      </c>
      <c r="C219" s="98" t="s">
        <v>125</v>
      </c>
      <c r="D219" s="98">
        <v>2</v>
      </c>
      <c r="E219" s="194"/>
      <c r="F219" s="197"/>
      <c r="G219" s="197"/>
      <c r="H219" s="199"/>
      <c r="J219" s="189"/>
    </row>
    <row r="220" spans="1:10" x14ac:dyDescent="0.2">
      <c r="A220" s="41"/>
      <c r="B220" s="97" t="s">
        <v>389</v>
      </c>
      <c r="C220" s="98" t="s">
        <v>125</v>
      </c>
      <c r="D220" s="98">
        <v>2</v>
      </c>
      <c r="E220" s="194"/>
      <c r="F220" s="197"/>
      <c r="G220" s="197"/>
      <c r="H220" s="199"/>
      <c r="J220" s="189"/>
    </row>
    <row r="221" spans="1:10" x14ac:dyDescent="0.2">
      <c r="A221" s="41"/>
      <c r="B221" s="97" t="s">
        <v>390</v>
      </c>
      <c r="C221" s="98" t="s">
        <v>125</v>
      </c>
      <c r="D221" s="98">
        <v>2</v>
      </c>
      <c r="E221" s="194"/>
      <c r="F221" s="197"/>
      <c r="G221" s="197"/>
      <c r="H221" s="199"/>
      <c r="J221" s="189"/>
    </row>
    <row r="222" spans="1:10" x14ac:dyDescent="0.25">
      <c r="A222" s="41"/>
      <c r="B222" s="99" t="s">
        <v>391</v>
      </c>
      <c r="C222" s="98"/>
      <c r="D222" s="98"/>
      <c r="E222" s="194"/>
      <c r="F222" s="197"/>
      <c r="G222" s="197"/>
      <c r="H222" s="199"/>
      <c r="J222" s="189"/>
    </row>
    <row r="223" spans="1:10" x14ac:dyDescent="0.2">
      <c r="A223" s="41"/>
      <c r="B223" s="97" t="s">
        <v>392</v>
      </c>
      <c r="C223" s="98" t="s">
        <v>125</v>
      </c>
      <c r="D223" s="98">
        <v>2</v>
      </c>
      <c r="E223" s="194"/>
      <c r="F223" s="197"/>
      <c r="G223" s="197"/>
      <c r="H223" s="199"/>
      <c r="J223" s="189"/>
    </row>
    <row r="224" spans="1:10" x14ac:dyDescent="0.25">
      <c r="A224" s="41"/>
      <c r="B224" s="99" t="s">
        <v>393</v>
      </c>
      <c r="C224" s="98"/>
      <c r="D224" s="98"/>
      <c r="E224" s="194"/>
      <c r="F224" s="197"/>
      <c r="G224" s="197"/>
      <c r="H224" s="199"/>
      <c r="J224" s="189"/>
    </row>
    <row r="225" spans="1:10" x14ac:dyDescent="0.2">
      <c r="A225" s="41"/>
      <c r="B225" s="97" t="s">
        <v>346</v>
      </c>
      <c r="C225" s="98" t="s">
        <v>125</v>
      </c>
      <c r="D225" s="98">
        <v>2</v>
      </c>
      <c r="E225" s="194"/>
      <c r="F225" s="197"/>
      <c r="G225" s="197"/>
      <c r="H225" s="199"/>
      <c r="J225" s="189"/>
    </row>
    <row r="226" spans="1:10" x14ac:dyDescent="0.25">
      <c r="A226" s="41"/>
      <c r="B226" s="99" t="s">
        <v>396</v>
      </c>
      <c r="C226" s="98"/>
      <c r="D226" s="98"/>
      <c r="E226" s="194"/>
      <c r="F226" s="197"/>
      <c r="G226" s="197"/>
      <c r="H226" s="199"/>
      <c r="J226" s="189"/>
    </row>
    <row r="227" spans="1:10" x14ac:dyDescent="0.2">
      <c r="A227" s="41"/>
      <c r="B227" s="97" t="s">
        <v>394</v>
      </c>
      <c r="C227" s="98" t="s">
        <v>125</v>
      </c>
      <c r="D227" s="98">
        <v>2</v>
      </c>
      <c r="E227" s="194"/>
      <c r="F227" s="197"/>
      <c r="G227" s="197"/>
      <c r="H227" s="199"/>
      <c r="J227" s="189"/>
    </row>
    <row r="228" spans="1:10" x14ac:dyDescent="0.25">
      <c r="A228" s="41"/>
      <c r="B228" s="99" t="s">
        <v>397</v>
      </c>
      <c r="C228" s="98"/>
      <c r="D228" s="98"/>
      <c r="E228" s="194"/>
      <c r="F228" s="197"/>
      <c r="G228" s="197"/>
      <c r="H228" s="199"/>
      <c r="J228" s="189"/>
    </row>
    <row r="229" spans="1:10" x14ac:dyDescent="0.2">
      <c r="A229" s="41"/>
      <c r="B229" s="114" t="s">
        <v>346</v>
      </c>
      <c r="C229" s="98" t="s">
        <v>125</v>
      </c>
      <c r="D229" s="98">
        <v>2</v>
      </c>
      <c r="E229" s="195"/>
      <c r="F229" s="198"/>
      <c r="G229" s="198"/>
      <c r="H229" s="192"/>
      <c r="J229" s="190"/>
    </row>
    <row r="230" spans="1:10" x14ac:dyDescent="0.2">
      <c r="A230" s="41"/>
      <c r="B230" s="115"/>
      <c r="C230" s="93"/>
      <c r="D230" s="93"/>
      <c r="E230" s="161"/>
      <c r="F230" s="146"/>
      <c r="G230" s="146"/>
      <c r="H230" s="113"/>
      <c r="J230" s="162"/>
    </row>
    <row r="231" spans="1:10" ht="31.5" x14ac:dyDescent="0.2">
      <c r="A231" s="48"/>
      <c r="B231" s="25" t="s">
        <v>193</v>
      </c>
      <c r="C231" s="26"/>
      <c r="D231" s="26"/>
      <c r="E231" s="143"/>
      <c r="F231" s="143"/>
      <c r="G231" s="143"/>
      <c r="H231" s="32"/>
      <c r="J231" s="162"/>
    </row>
    <row r="232" spans="1:10" x14ac:dyDescent="0.2">
      <c r="A232" s="35"/>
      <c r="B232" s="2" t="s">
        <v>186</v>
      </c>
      <c r="C232" s="35" t="s">
        <v>14</v>
      </c>
      <c r="D232" s="35">
        <v>2</v>
      </c>
      <c r="E232" s="162">
        <v>250</v>
      </c>
      <c r="F232" s="184">
        <f t="shared" ref="F232:F235" si="39">E232*510</f>
        <v>127500</v>
      </c>
      <c r="G232" s="184">
        <f t="shared" ref="G232:G235" si="40">D232*F232</f>
        <v>255000</v>
      </c>
      <c r="H232" s="203"/>
      <c r="J232" s="162"/>
    </row>
    <row r="233" spans="1:10" x14ac:dyDescent="0.2">
      <c r="A233" s="35"/>
      <c r="B233" s="2" t="s">
        <v>187</v>
      </c>
      <c r="C233" s="35" t="s">
        <v>14</v>
      </c>
      <c r="D233" s="35">
        <v>2</v>
      </c>
      <c r="E233" s="162">
        <v>400</v>
      </c>
      <c r="F233" s="184">
        <f t="shared" si="39"/>
        <v>204000</v>
      </c>
      <c r="G233" s="184">
        <f t="shared" si="40"/>
        <v>408000</v>
      </c>
      <c r="H233" s="204"/>
      <c r="J233" s="162"/>
    </row>
    <row r="234" spans="1:10" x14ac:dyDescent="0.2">
      <c r="A234" s="35"/>
      <c r="B234" s="2" t="s">
        <v>188</v>
      </c>
      <c r="C234" s="35" t="s">
        <v>14</v>
      </c>
      <c r="D234" s="35">
        <v>2</v>
      </c>
      <c r="E234" s="162">
        <v>220</v>
      </c>
      <c r="F234" s="184">
        <f t="shared" si="39"/>
        <v>112200</v>
      </c>
      <c r="G234" s="184">
        <f t="shared" si="40"/>
        <v>224400</v>
      </c>
      <c r="H234" s="204"/>
      <c r="J234" s="162"/>
    </row>
    <row r="235" spans="1:10" x14ac:dyDescent="0.2">
      <c r="A235" s="35"/>
      <c r="B235" s="79" t="s">
        <v>400</v>
      </c>
      <c r="C235" s="107" t="s">
        <v>14</v>
      </c>
      <c r="D235" s="107">
        <v>2</v>
      </c>
      <c r="E235" s="162">
        <v>680</v>
      </c>
      <c r="F235" s="184">
        <f t="shared" si="39"/>
        <v>346800</v>
      </c>
      <c r="G235" s="184">
        <f t="shared" si="40"/>
        <v>693600</v>
      </c>
      <c r="H235" s="205"/>
      <c r="J235" s="162"/>
    </row>
    <row r="236" spans="1:10" x14ac:dyDescent="0.2">
      <c r="A236" s="66"/>
      <c r="B236" s="2"/>
      <c r="C236" s="66"/>
      <c r="D236" s="66"/>
      <c r="E236" s="140"/>
      <c r="F236" s="140"/>
      <c r="G236" s="140"/>
      <c r="H236" s="18"/>
      <c r="J236" s="169"/>
    </row>
    <row r="237" spans="1:10" x14ac:dyDescent="0.2">
      <c r="A237" s="48" t="s">
        <v>402</v>
      </c>
      <c r="B237" s="86" t="s">
        <v>320</v>
      </c>
      <c r="C237" s="82"/>
      <c r="D237" s="82"/>
      <c r="E237" s="148"/>
      <c r="F237" s="148"/>
      <c r="G237" s="148"/>
      <c r="H237" s="83"/>
      <c r="J237" s="162"/>
    </row>
    <row r="238" spans="1:10" ht="63" x14ac:dyDescent="0.2">
      <c r="A238" s="61"/>
      <c r="B238" s="90" t="s">
        <v>323</v>
      </c>
      <c r="C238" s="81"/>
      <c r="D238" s="81"/>
      <c r="E238" s="149"/>
      <c r="F238" s="149"/>
      <c r="G238" s="149"/>
      <c r="H238" s="81"/>
      <c r="J238" s="162"/>
    </row>
    <row r="239" spans="1:10" ht="47.25" x14ac:dyDescent="0.2">
      <c r="A239" s="64"/>
      <c r="B239" s="79" t="s">
        <v>324</v>
      </c>
      <c r="C239" s="51" t="s">
        <v>113</v>
      </c>
      <c r="D239" s="63">
        <v>2930</v>
      </c>
      <c r="E239" s="172">
        <v>7</v>
      </c>
      <c r="F239" s="172">
        <f t="shared" ref="F239" si="41">E239*510</f>
        <v>3570</v>
      </c>
      <c r="G239" s="172">
        <f>D239*F239</f>
        <v>10460100</v>
      </c>
      <c r="H239" s="84"/>
      <c r="J239" s="177">
        <f t="shared" ref="J239" si="42">G239</f>
        <v>10460100</v>
      </c>
    </row>
    <row r="240" spans="1:10" x14ac:dyDescent="0.2">
      <c r="A240" s="64"/>
      <c r="B240" s="79" t="s">
        <v>325</v>
      </c>
      <c r="C240" s="66" t="s">
        <v>14</v>
      </c>
      <c r="D240" s="66">
        <v>2</v>
      </c>
      <c r="E240" s="149"/>
      <c r="F240" s="149"/>
      <c r="G240" s="149"/>
      <c r="H240" s="223" t="s">
        <v>428</v>
      </c>
      <c r="J240" s="162"/>
    </row>
    <row r="241" spans="1:10" x14ac:dyDescent="0.2">
      <c r="A241" s="64"/>
      <c r="B241" s="79" t="s">
        <v>326</v>
      </c>
      <c r="C241" s="66" t="s">
        <v>14</v>
      </c>
      <c r="D241" s="66">
        <v>2</v>
      </c>
      <c r="E241" s="149"/>
      <c r="F241" s="149"/>
      <c r="G241" s="149"/>
      <c r="H241" s="224"/>
      <c r="J241" s="162"/>
    </row>
    <row r="242" spans="1:10" x14ac:dyDescent="0.2">
      <c r="A242" s="64"/>
      <c r="B242" s="79" t="s">
        <v>321</v>
      </c>
      <c r="C242" s="66" t="s">
        <v>14</v>
      </c>
      <c r="D242" s="66">
        <v>4</v>
      </c>
      <c r="E242" s="149"/>
      <c r="F242" s="149"/>
      <c r="G242" s="149"/>
      <c r="H242" s="224"/>
      <c r="J242" s="162"/>
    </row>
    <row r="243" spans="1:10" x14ac:dyDescent="0.2">
      <c r="A243" s="64"/>
      <c r="B243" s="79" t="s">
        <v>322</v>
      </c>
      <c r="C243" s="66" t="s">
        <v>14</v>
      </c>
      <c r="D243" s="66">
        <v>2</v>
      </c>
      <c r="E243" s="149"/>
      <c r="F243" s="149"/>
      <c r="G243" s="149"/>
      <c r="H243" s="225"/>
      <c r="J243" s="162"/>
    </row>
    <row r="244" spans="1:10" x14ac:dyDescent="0.2">
      <c r="A244" s="81"/>
      <c r="B244" s="2"/>
      <c r="C244" s="81"/>
      <c r="D244" s="81"/>
      <c r="E244" s="149"/>
      <c r="F244" s="149"/>
      <c r="G244" s="149"/>
      <c r="H244" s="81"/>
      <c r="J244" s="162"/>
    </row>
    <row r="245" spans="1:10" x14ac:dyDescent="0.2">
      <c r="A245" s="76"/>
      <c r="B245" s="86" t="s">
        <v>330</v>
      </c>
      <c r="C245" s="76"/>
      <c r="D245" s="76"/>
      <c r="E245" s="150"/>
      <c r="F245" s="150"/>
      <c r="G245" s="150"/>
      <c r="H245" s="86"/>
      <c r="J245" s="162"/>
    </row>
    <row r="246" spans="1:10" ht="31.5" x14ac:dyDescent="0.2">
      <c r="A246" s="70">
        <v>16</v>
      </c>
      <c r="B246" s="111" t="s">
        <v>401</v>
      </c>
      <c r="C246" s="109"/>
      <c r="D246" s="110"/>
      <c r="E246" s="151"/>
      <c r="F246" s="151"/>
      <c r="G246" s="151"/>
      <c r="H246" s="108"/>
      <c r="J246" s="162"/>
    </row>
    <row r="247" spans="1:10" ht="63" x14ac:dyDescent="0.2">
      <c r="A247" s="108"/>
      <c r="B247" s="79" t="s">
        <v>328</v>
      </c>
      <c r="C247" s="51" t="s">
        <v>113</v>
      </c>
      <c r="D247" s="106">
        <v>2930</v>
      </c>
      <c r="E247" s="173">
        <v>13</v>
      </c>
      <c r="F247" s="173">
        <f t="shared" ref="F247:F248" si="43">E247*510</f>
        <v>6630</v>
      </c>
      <c r="G247" s="173">
        <f t="shared" ref="G247:G248" si="44">D247*F247</f>
        <v>19425900</v>
      </c>
      <c r="H247" s="108"/>
      <c r="J247" s="177">
        <f t="shared" ref="J247:J248" si="45">G247</f>
        <v>19425900</v>
      </c>
    </row>
    <row r="248" spans="1:10" ht="31.5" x14ac:dyDescent="0.2">
      <c r="A248" s="108"/>
      <c r="B248" s="79" t="s">
        <v>335</v>
      </c>
      <c r="C248" s="51" t="s">
        <v>113</v>
      </c>
      <c r="D248" s="106">
        <v>2930</v>
      </c>
      <c r="E248" s="173">
        <v>9</v>
      </c>
      <c r="F248" s="173">
        <f t="shared" si="43"/>
        <v>4590</v>
      </c>
      <c r="G248" s="173">
        <f t="shared" si="44"/>
        <v>13448700</v>
      </c>
      <c r="H248" s="108"/>
      <c r="J248" s="177">
        <f t="shared" si="45"/>
        <v>13448700</v>
      </c>
    </row>
    <row r="249" spans="1:10" ht="31.5" x14ac:dyDescent="0.2">
      <c r="A249" s="107">
        <v>17</v>
      </c>
      <c r="B249" s="89" t="s">
        <v>332</v>
      </c>
      <c r="C249" s="51"/>
      <c r="D249" s="75"/>
      <c r="E249" s="149"/>
      <c r="F249" s="149"/>
      <c r="G249" s="149"/>
      <c r="H249" s="81"/>
      <c r="J249" s="162"/>
    </row>
    <row r="250" spans="1:10" ht="63" x14ac:dyDescent="0.2">
      <c r="A250" s="81"/>
      <c r="B250" s="79" t="s">
        <v>328</v>
      </c>
      <c r="C250" s="51" t="s">
        <v>113</v>
      </c>
      <c r="D250" s="75">
        <v>150</v>
      </c>
      <c r="E250" s="137">
        <v>13</v>
      </c>
      <c r="F250" s="119">
        <f t="shared" ref="F250:F251" si="46">E250*510</f>
        <v>6630</v>
      </c>
      <c r="G250" s="119">
        <f>D250*F250</f>
        <v>994500</v>
      </c>
      <c r="H250" s="81"/>
      <c r="J250" s="177">
        <f t="shared" ref="J250:J251" si="47">G250</f>
        <v>994500</v>
      </c>
    </row>
    <row r="251" spans="1:10" ht="31.5" x14ac:dyDescent="0.2">
      <c r="A251" s="81"/>
      <c r="B251" s="79" t="s">
        <v>331</v>
      </c>
      <c r="C251" s="51" t="s">
        <v>113</v>
      </c>
      <c r="D251" s="75">
        <v>150</v>
      </c>
      <c r="E251" s="137">
        <v>9</v>
      </c>
      <c r="F251" s="119">
        <f t="shared" si="46"/>
        <v>4590</v>
      </c>
      <c r="G251" s="119">
        <f>D251*F251</f>
        <v>688500</v>
      </c>
      <c r="H251" s="81"/>
      <c r="J251" s="177">
        <f t="shared" si="47"/>
        <v>688500</v>
      </c>
    </row>
    <row r="252" spans="1:10" x14ac:dyDescent="0.2">
      <c r="A252" s="81"/>
      <c r="B252" s="2"/>
      <c r="C252" s="81"/>
      <c r="D252" s="81"/>
      <c r="E252" s="149"/>
      <c r="F252" s="149"/>
      <c r="G252" s="149"/>
      <c r="H252" s="81"/>
      <c r="J252" s="162"/>
    </row>
    <row r="253" spans="1:10" ht="15.6" customHeight="1" x14ac:dyDescent="0.2">
      <c r="A253" s="8" t="s">
        <v>403</v>
      </c>
      <c r="B253" s="91" t="s">
        <v>329</v>
      </c>
      <c r="C253" s="92"/>
      <c r="D253" s="92"/>
      <c r="E253" s="152"/>
      <c r="F253" s="152"/>
      <c r="G253" s="152"/>
      <c r="H253" s="92"/>
      <c r="J253" s="162"/>
    </row>
    <row r="254" spans="1:10" x14ac:dyDescent="0.2">
      <c r="A254" s="81"/>
      <c r="B254" s="79" t="s">
        <v>327</v>
      </c>
      <c r="C254" s="78" t="s">
        <v>113</v>
      </c>
      <c r="D254" s="77">
        <v>900</v>
      </c>
      <c r="E254" s="137">
        <v>3</v>
      </c>
      <c r="F254" s="119">
        <f t="shared" ref="F254:F255" si="48">E254*510</f>
        <v>1530</v>
      </c>
      <c r="G254" s="119">
        <f>D254*F254</f>
        <v>1377000</v>
      </c>
      <c r="H254" s="81"/>
      <c r="J254" s="177">
        <f t="shared" ref="J254:J257" si="49">G254</f>
        <v>1377000</v>
      </c>
    </row>
    <row r="255" spans="1:10" ht="63" x14ac:dyDescent="0.2">
      <c r="A255" s="81"/>
      <c r="B255" s="79" t="s">
        <v>328</v>
      </c>
      <c r="C255" s="78" t="s">
        <v>113</v>
      </c>
      <c r="D255" s="77">
        <v>900</v>
      </c>
      <c r="E255" s="137">
        <v>13</v>
      </c>
      <c r="F255" s="119">
        <f t="shared" si="48"/>
        <v>6630</v>
      </c>
      <c r="G255" s="119">
        <f>D255*F255</f>
        <v>5967000</v>
      </c>
      <c r="H255" s="81"/>
      <c r="J255" s="177">
        <f t="shared" si="49"/>
        <v>5967000</v>
      </c>
    </row>
    <row r="256" spans="1:10" ht="31.5" x14ac:dyDescent="0.2">
      <c r="A256" s="81"/>
      <c r="B256" s="2" t="s">
        <v>337</v>
      </c>
      <c r="C256" s="78" t="s">
        <v>113</v>
      </c>
      <c r="D256" s="107">
        <v>900</v>
      </c>
      <c r="E256" s="137">
        <v>6</v>
      </c>
      <c r="F256" s="119">
        <f t="shared" ref="F256:F257" si="50">E256*510</f>
        <v>3060</v>
      </c>
      <c r="G256" s="119">
        <f>D256*F256</f>
        <v>2754000</v>
      </c>
      <c r="H256" s="81"/>
      <c r="J256" s="177">
        <f t="shared" si="49"/>
        <v>2754000</v>
      </c>
    </row>
    <row r="257" spans="1:10" ht="47.25" x14ac:dyDescent="0.2">
      <c r="A257" s="81"/>
      <c r="B257" s="2" t="s">
        <v>429</v>
      </c>
      <c r="C257" s="107" t="s">
        <v>5</v>
      </c>
      <c r="D257" s="107">
        <v>1</v>
      </c>
      <c r="E257" s="137">
        <v>900</v>
      </c>
      <c r="F257" s="119">
        <f t="shared" si="50"/>
        <v>459000</v>
      </c>
      <c r="G257" s="119">
        <f>D257*F257</f>
        <v>459000</v>
      </c>
      <c r="H257" s="81"/>
      <c r="J257" s="177">
        <f t="shared" si="49"/>
        <v>459000</v>
      </c>
    </row>
    <row r="258" spans="1:10" ht="15.6" customHeight="1" x14ac:dyDescent="0.2">
      <c r="A258" s="81"/>
      <c r="B258" s="81"/>
      <c r="C258" s="81"/>
      <c r="D258" s="81"/>
      <c r="E258" s="149"/>
      <c r="F258" s="149"/>
      <c r="G258" s="149"/>
      <c r="H258" s="81"/>
      <c r="J258" s="162"/>
    </row>
    <row r="259" spans="1:10" ht="15.75" customHeight="1" x14ac:dyDescent="0.25">
      <c r="A259" s="45" t="s">
        <v>404</v>
      </c>
      <c r="B259" s="94" t="s">
        <v>333</v>
      </c>
      <c r="C259" s="51" t="s">
        <v>113</v>
      </c>
      <c r="D259" s="35">
        <v>25</v>
      </c>
      <c r="E259" s="140"/>
      <c r="F259" s="140"/>
      <c r="G259" s="140"/>
      <c r="H259" s="18"/>
      <c r="J259" s="162"/>
    </row>
    <row r="260" spans="1:10" ht="63" x14ac:dyDescent="0.2">
      <c r="A260" s="45"/>
      <c r="B260" s="79" t="s">
        <v>328</v>
      </c>
      <c r="C260" s="51" t="s">
        <v>113</v>
      </c>
      <c r="D260" s="87">
        <v>25</v>
      </c>
      <c r="E260" s="165">
        <v>15</v>
      </c>
      <c r="F260" s="167">
        <f t="shared" ref="F260:F261" si="51">E260*510</f>
        <v>7650</v>
      </c>
      <c r="G260" s="119">
        <f>D260*F260</f>
        <v>191250</v>
      </c>
      <c r="H260" s="223" t="s">
        <v>430</v>
      </c>
      <c r="J260" s="177">
        <f t="shared" ref="J260:J261" si="52">G260</f>
        <v>191250</v>
      </c>
    </row>
    <row r="261" spans="1:10" ht="31.5" x14ac:dyDescent="0.2">
      <c r="A261" s="45"/>
      <c r="B261" s="79" t="s">
        <v>331</v>
      </c>
      <c r="C261" s="51" t="s">
        <v>113</v>
      </c>
      <c r="D261" s="87">
        <v>25</v>
      </c>
      <c r="E261" s="165">
        <v>12</v>
      </c>
      <c r="F261" s="167">
        <f t="shared" si="51"/>
        <v>6120</v>
      </c>
      <c r="G261" s="119">
        <f>D261*F261</f>
        <v>153000</v>
      </c>
      <c r="H261" s="225"/>
      <c r="J261" s="177">
        <f t="shared" si="52"/>
        <v>153000</v>
      </c>
    </row>
    <row r="262" spans="1:10" ht="15.6" customHeight="1" x14ac:dyDescent="0.2">
      <c r="A262" s="26">
        <v>42</v>
      </c>
      <c r="B262" s="86" t="s">
        <v>114</v>
      </c>
      <c r="C262" s="86"/>
      <c r="D262" s="86"/>
      <c r="E262" s="150"/>
      <c r="F262" s="150"/>
      <c r="G262" s="150"/>
      <c r="H262" s="86"/>
      <c r="J262" s="162"/>
    </row>
    <row r="263" spans="1:10" x14ac:dyDescent="0.25">
      <c r="A263" s="45"/>
      <c r="B263" s="94" t="s">
        <v>334</v>
      </c>
      <c r="C263" s="84"/>
      <c r="D263" s="81"/>
      <c r="E263" s="146"/>
      <c r="F263" s="146"/>
      <c r="G263" s="146"/>
      <c r="H263" s="113"/>
      <c r="J263" s="162"/>
    </row>
    <row r="264" spans="1:10" ht="63" x14ac:dyDescent="0.2">
      <c r="A264" s="45"/>
      <c r="B264" s="79" t="s">
        <v>328</v>
      </c>
      <c r="C264" s="85" t="s">
        <v>113</v>
      </c>
      <c r="D264" s="87">
        <v>2500</v>
      </c>
      <c r="E264" s="139">
        <v>15</v>
      </c>
      <c r="F264" s="133">
        <f t="shared" ref="F264:F265" si="53">E264*510</f>
        <v>7650</v>
      </c>
      <c r="G264" s="119">
        <f>D264*F264</f>
        <v>19125000</v>
      </c>
      <c r="H264" s="223" t="s">
        <v>430</v>
      </c>
      <c r="J264" s="162"/>
    </row>
    <row r="265" spans="1:10" ht="31.5" x14ac:dyDescent="0.2">
      <c r="A265" s="45"/>
      <c r="B265" s="79" t="s">
        <v>335</v>
      </c>
      <c r="C265" s="85" t="s">
        <v>113</v>
      </c>
      <c r="D265" s="87">
        <v>2500</v>
      </c>
      <c r="E265" s="139">
        <v>9</v>
      </c>
      <c r="F265" s="133">
        <f t="shared" si="53"/>
        <v>4590</v>
      </c>
      <c r="G265" s="119">
        <f>D265*F265</f>
        <v>11475000</v>
      </c>
      <c r="H265" s="225"/>
      <c r="J265" s="162"/>
    </row>
    <row r="266" spans="1:10" x14ac:dyDescent="0.2">
      <c r="A266" s="45"/>
      <c r="B266" s="10"/>
      <c r="C266" s="46"/>
      <c r="D266" s="35"/>
      <c r="E266" s="146"/>
      <c r="F266" s="146"/>
      <c r="G266" s="146"/>
      <c r="H266" s="113"/>
      <c r="J266" s="162"/>
    </row>
    <row r="267" spans="1:10" x14ac:dyDescent="0.25">
      <c r="A267" s="45" t="s">
        <v>405</v>
      </c>
      <c r="B267" s="94" t="s">
        <v>336</v>
      </c>
      <c r="C267" s="46"/>
      <c r="D267" s="35"/>
      <c r="E267" s="146"/>
      <c r="F267" s="146"/>
      <c r="G267" s="146"/>
      <c r="H267" s="113"/>
      <c r="J267" s="162"/>
    </row>
    <row r="268" spans="1:10" ht="63" x14ac:dyDescent="0.2">
      <c r="A268" s="45"/>
      <c r="B268" s="79" t="s">
        <v>328</v>
      </c>
      <c r="C268" s="98" t="s">
        <v>113</v>
      </c>
      <c r="D268" s="98">
        <v>140</v>
      </c>
      <c r="E268" s="133">
        <v>15</v>
      </c>
      <c r="F268" s="133">
        <f t="shared" ref="F268:F269" si="54">E268*510</f>
        <v>7650</v>
      </c>
      <c r="G268" s="119">
        <f>D268*F268</f>
        <v>1071000</v>
      </c>
      <c r="H268" s="223" t="s">
        <v>430</v>
      </c>
      <c r="J268" s="177">
        <f t="shared" ref="J268:J269" si="55">G268</f>
        <v>1071000</v>
      </c>
    </row>
    <row r="269" spans="1:10" ht="31.5" x14ac:dyDescent="0.2">
      <c r="A269" s="45"/>
      <c r="B269" s="79" t="s">
        <v>337</v>
      </c>
      <c r="C269" s="46" t="s">
        <v>113</v>
      </c>
      <c r="D269" s="35">
        <v>140</v>
      </c>
      <c r="E269" s="133">
        <v>8</v>
      </c>
      <c r="F269" s="133">
        <f t="shared" si="54"/>
        <v>4080</v>
      </c>
      <c r="G269" s="119">
        <f>D269*F269</f>
        <v>571200</v>
      </c>
      <c r="H269" s="225"/>
      <c r="J269" s="177">
        <f t="shared" si="55"/>
        <v>571200</v>
      </c>
    </row>
    <row r="270" spans="1:10" x14ac:dyDescent="0.2">
      <c r="A270" s="45"/>
      <c r="B270" s="10"/>
      <c r="C270" s="46"/>
      <c r="D270" s="35"/>
      <c r="E270" s="140"/>
      <c r="F270" s="140"/>
      <c r="G270" s="140"/>
      <c r="H270" s="18"/>
      <c r="J270" s="162"/>
    </row>
    <row r="271" spans="1:10" x14ac:dyDescent="0.25">
      <c r="A271" s="45" t="s">
        <v>406</v>
      </c>
      <c r="B271" s="94" t="s">
        <v>338</v>
      </c>
      <c r="C271" s="46"/>
      <c r="D271" s="35"/>
      <c r="E271" s="140"/>
      <c r="F271" s="140"/>
      <c r="G271" s="140"/>
      <c r="H271" s="18"/>
      <c r="J271" s="162"/>
    </row>
    <row r="272" spans="1:10" ht="63" x14ac:dyDescent="0.2">
      <c r="B272" s="79" t="s">
        <v>328</v>
      </c>
      <c r="C272" s="98" t="s">
        <v>113</v>
      </c>
      <c r="D272" s="98">
        <v>876</v>
      </c>
      <c r="E272" s="137">
        <v>15</v>
      </c>
      <c r="F272" s="119">
        <f t="shared" ref="F272:F273" si="56">E272*510</f>
        <v>7650</v>
      </c>
      <c r="G272" s="119">
        <f>D272*F272</f>
        <v>6701400</v>
      </c>
      <c r="H272" s="223" t="s">
        <v>430</v>
      </c>
      <c r="J272" s="177">
        <f t="shared" ref="J272:J273" si="57">G272</f>
        <v>6701400</v>
      </c>
    </row>
    <row r="273" spans="1:10" ht="31.5" x14ac:dyDescent="0.2">
      <c r="A273" s="44"/>
      <c r="B273" s="79" t="s">
        <v>337</v>
      </c>
      <c r="C273" s="98" t="s">
        <v>113</v>
      </c>
      <c r="D273" s="98">
        <v>876</v>
      </c>
      <c r="E273" s="165">
        <v>8</v>
      </c>
      <c r="F273" s="167">
        <f t="shared" si="56"/>
        <v>4080</v>
      </c>
      <c r="G273" s="119">
        <f>D273*F273</f>
        <v>3574080</v>
      </c>
      <c r="H273" s="225"/>
      <c r="J273" s="177">
        <f t="shared" si="57"/>
        <v>3574080</v>
      </c>
    </row>
    <row r="274" spans="1:10" x14ac:dyDescent="0.25">
      <c r="A274" s="44"/>
      <c r="B274" s="52"/>
      <c r="C274" s="35"/>
      <c r="D274" s="35"/>
      <c r="E274" s="140"/>
      <c r="F274" s="140"/>
      <c r="G274" s="140"/>
      <c r="H274" s="18"/>
      <c r="J274" s="162"/>
    </row>
    <row r="275" spans="1:10" x14ac:dyDescent="0.25">
      <c r="A275" s="44" t="s">
        <v>407</v>
      </c>
      <c r="B275" s="94" t="s">
        <v>339</v>
      </c>
      <c r="C275" s="35"/>
      <c r="D275" s="35"/>
      <c r="E275" s="140"/>
      <c r="F275" s="140"/>
      <c r="G275" s="140"/>
      <c r="H275" s="18"/>
      <c r="J275" s="162"/>
    </row>
    <row r="276" spans="1:10" ht="63" x14ac:dyDescent="0.2">
      <c r="A276" s="62"/>
      <c r="B276" s="79" t="s">
        <v>328</v>
      </c>
      <c r="C276" s="107" t="s">
        <v>113</v>
      </c>
      <c r="D276" s="11">
        <v>55</v>
      </c>
      <c r="E276" s="139">
        <v>13</v>
      </c>
      <c r="F276" s="133">
        <f t="shared" ref="F276:F277" si="58">E276*510</f>
        <v>6630</v>
      </c>
      <c r="G276" s="119">
        <f>D276*F276</f>
        <v>364650</v>
      </c>
      <c r="H276" s="230" t="s">
        <v>430</v>
      </c>
      <c r="J276" s="162"/>
    </row>
    <row r="277" spans="1:10" ht="31.5" x14ac:dyDescent="0.2">
      <c r="A277" s="62"/>
      <c r="B277" s="79" t="s">
        <v>337</v>
      </c>
      <c r="C277" s="107" t="s">
        <v>113</v>
      </c>
      <c r="D277" s="107">
        <v>55</v>
      </c>
      <c r="E277" s="139">
        <v>6</v>
      </c>
      <c r="F277" s="133">
        <f t="shared" si="58"/>
        <v>3060</v>
      </c>
      <c r="G277" s="119">
        <f>D277*F277</f>
        <v>168300</v>
      </c>
      <c r="H277" s="230"/>
      <c r="J277" s="162"/>
    </row>
    <row r="278" spans="1:10" x14ac:dyDescent="0.25">
      <c r="A278" s="44"/>
      <c r="B278" s="52"/>
      <c r="C278" s="107"/>
      <c r="D278" s="107"/>
      <c r="E278" s="140"/>
      <c r="F278" s="140"/>
      <c r="G278" s="140"/>
      <c r="H278" s="18"/>
      <c r="J278" s="162"/>
    </row>
    <row r="279" spans="1:10" ht="15.6" customHeight="1" x14ac:dyDescent="0.2">
      <c r="A279" s="116">
        <v>23</v>
      </c>
      <c r="B279" s="95" t="s">
        <v>115</v>
      </c>
      <c r="C279" s="88"/>
      <c r="D279" s="88"/>
      <c r="E279" s="154"/>
      <c r="F279" s="154"/>
      <c r="G279" s="154"/>
      <c r="H279" s="88"/>
      <c r="J279" s="162"/>
    </row>
    <row r="280" spans="1:10" s="12" customFormat="1" ht="31.5" x14ac:dyDescent="0.25">
      <c r="A280" s="62"/>
      <c r="B280" s="96" t="s">
        <v>340</v>
      </c>
      <c r="C280" s="85"/>
      <c r="D280" s="87"/>
      <c r="E280" s="140"/>
      <c r="F280" s="140"/>
      <c r="G280" s="140"/>
      <c r="H280" s="18"/>
      <c r="J280" s="10"/>
    </row>
    <row r="281" spans="1:10" ht="63" x14ac:dyDescent="0.2">
      <c r="A281" s="44"/>
      <c r="B281" s="79" t="s">
        <v>328</v>
      </c>
      <c r="C281" s="85" t="s">
        <v>113</v>
      </c>
      <c r="D281" s="87">
        <v>2025</v>
      </c>
      <c r="E281" s="171">
        <v>13</v>
      </c>
      <c r="F281" s="133">
        <f t="shared" ref="F281:F285" si="59">E281*510</f>
        <v>6630</v>
      </c>
      <c r="G281" s="119">
        <f t="shared" ref="G281:G282" si="60">D281*F281</f>
        <v>13425750</v>
      </c>
      <c r="H281" s="18"/>
      <c r="J281" s="162"/>
    </row>
    <row r="282" spans="1:10" ht="31.5" x14ac:dyDescent="0.2">
      <c r="A282" s="44"/>
      <c r="B282" s="79" t="s">
        <v>337</v>
      </c>
      <c r="C282" s="85" t="s">
        <v>113</v>
      </c>
      <c r="D282" s="87">
        <v>2025</v>
      </c>
      <c r="E282" s="171">
        <v>6</v>
      </c>
      <c r="F282" s="133">
        <f t="shared" si="59"/>
        <v>3060</v>
      </c>
      <c r="G282" s="119">
        <f t="shared" si="60"/>
        <v>6196500</v>
      </c>
      <c r="H282" s="107" t="s">
        <v>431</v>
      </c>
      <c r="J282" s="162"/>
    </row>
    <row r="283" spans="1:10" ht="31.5" x14ac:dyDescent="0.2">
      <c r="A283" s="44" t="s">
        <v>408</v>
      </c>
      <c r="B283" s="89" t="s">
        <v>341</v>
      </c>
      <c r="C283" s="27"/>
      <c r="D283" s="35"/>
      <c r="E283" s="140"/>
      <c r="F283" s="140"/>
      <c r="G283" s="140"/>
      <c r="H283" s="175"/>
      <c r="J283" s="162"/>
    </row>
    <row r="284" spans="1:10" ht="63" x14ac:dyDescent="0.2">
      <c r="A284" s="44"/>
      <c r="B284" s="79" t="s">
        <v>328</v>
      </c>
      <c r="C284" s="85" t="s">
        <v>113</v>
      </c>
      <c r="D284" s="87">
        <v>100</v>
      </c>
      <c r="E284" s="171">
        <v>13</v>
      </c>
      <c r="F284" s="133">
        <f t="shared" si="59"/>
        <v>6630</v>
      </c>
      <c r="G284" s="119">
        <f t="shared" ref="G284:G285" si="61">D284*F284</f>
        <v>663000</v>
      </c>
      <c r="H284" s="18"/>
      <c r="J284" s="162"/>
    </row>
    <row r="285" spans="1:10" ht="31.5" x14ac:dyDescent="0.2">
      <c r="A285" s="44"/>
      <c r="B285" s="79" t="s">
        <v>337</v>
      </c>
      <c r="C285" s="85" t="s">
        <v>113</v>
      </c>
      <c r="D285" s="87">
        <v>100</v>
      </c>
      <c r="E285" s="171">
        <v>6</v>
      </c>
      <c r="F285" s="133">
        <f t="shared" si="59"/>
        <v>3060</v>
      </c>
      <c r="G285" s="119">
        <f t="shared" si="61"/>
        <v>306000</v>
      </c>
      <c r="H285" s="107" t="s">
        <v>431</v>
      </c>
      <c r="J285" s="162"/>
    </row>
    <row r="286" spans="1:10" x14ac:dyDescent="0.2">
      <c r="A286" s="9"/>
      <c r="B286" s="9"/>
      <c r="C286" s="9"/>
      <c r="D286" s="9"/>
      <c r="E286" s="140"/>
      <c r="F286" s="140"/>
      <c r="G286" s="140"/>
      <c r="H286" s="18"/>
      <c r="J286" s="162"/>
    </row>
    <row r="287" spans="1:10" x14ac:dyDescent="0.2">
      <c r="A287" s="48" t="s">
        <v>409</v>
      </c>
      <c r="B287" s="25" t="s">
        <v>189</v>
      </c>
      <c r="C287" s="26"/>
      <c r="D287" s="26"/>
      <c r="E287" s="143"/>
      <c r="F287" s="143"/>
      <c r="G287" s="143"/>
      <c r="H287" s="32"/>
      <c r="J287" s="162"/>
    </row>
    <row r="288" spans="1:10" ht="47.25" x14ac:dyDescent="0.2">
      <c r="A288" s="44" t="s">
        <v>410</v>
      </c>
      <c r="B288" s="10" t="s">
        <v>191</v>
      </c>
      <c r="C288" s="35" t="s">
        <v>14</v>
      </c>
      <c r="D288" s="35">
        <v>1</v>
      </c>
      <c r="E288" s="153">
        <v>7800</v>
      </c>
      <c r="F288" s="133">
        <f t="shared" ref="F288:F295" si="62">E288*510</f>
        <v>3978000</v>
      </c>
      <c r="G288" s="119">
        <f t="shared" ref="G288:G289" si="63">D288*F288</f>
        <v>3978000</v>
      </c>
      <c r="H288" s="18"/>
      <c r="J288" s="162"/>
    </row>
    <row r="289" spans="1:10" x14ac:dyDescent="0.2">
      <c r="A289" s="44" t="s">
        <v>411</v>
      </c>
      <c r="B289" s="10" t="s">
        <v>190</v>
      </c>
      <c r="C289" s="35" t="s">
        <v>14</v>
      </c>
      <c r="D289" s="35">
        <v>4</v>
      </c>
      <c r="E289" s="153">
        <v>1200</v>
      </c>
      <c r="F289" s="133">
        <f t="shared" si="62"/>
        <v>612000</v>
      </c>
      <c r="G289" s="119">
        <f t="shared" si="63"/>
        <v>2448000</v>
      </c>
      <c r="H289" s="18"/>
      <c r="J289" s="162"/>
    </row>
    <row r="290" spans="1:10" x14ac:dyDescent="0.2">
      <c r="A290" s="55" t="s">
        <v>412</v>
      </c>
      <c r="B290" s="56" t="s">
        <v>62</v>
      </c>
      <c r="C290" s="57"/>
      <c r="D290" s="57"/>
      <c r="E290" s="155"/>
      <c r="F290" s="155"/>
      <c r="G290" s="155"/>
      <c r="H290" s="58"/>
      <c r="J290" s="162"/>
    </row>
    <row r="291" spans="1:10" ht="52.5" customHeight="1" x14ac:dyDescent="0.2">
      <c r="A291" s="44" t="s">
        <v>442</v>
      </c>
      <c r="B291" s="2" t="s">
        <v>184</v>
      </c>
      <c r="C291" s="35" t="s">
        <v>89</v>
      </c>
      <c r="D291" s="35">
        <v>2</v>
      </c>
      <c r="E291" s="137">
        <v>340</v>
      </c>
      <c r="F291" s="133">
        <f t="shared" si="62"/>
        <v>173400</v>
      </c>
      <c r="G291" s="119">
        <f t="shared" ref="G291:G295" si="64">D291*F291</f>
        <v>346800</v>
      </c>
      <c r="H291" s="18"/>
      <c r="J291" s="162"/>
    </row>
    <row r="292" spans="1:10" x14ac:dyDescent="0.2">
      <c r="A292" s="62" t="s">
        <v>443</v>
      </c>
      <c r="B292" s="10" t="s">
        <v>206</v>
      </c>
      <c r="C292" s="11" t="s">
        <v>14</v>
      </c>
      <c r="D292" s="11">
        <v>1</v>
      </c>
      <c r="E292" s="176">
        <v>3000</v>
      </c>
      <c r="F292" s="133">
        <f t="shared" si="62"/>
        <v>1530000</v>
      </c>
      <c r="G292" s="119">
        <f t="shared" si="64"/>
        <v>1530000</v>
      </c>
      <c r="H292" s="18"/>
      <c r="J292" s="162"/>
    </row>
    <row r="293" spans="1:10" ht="31.5" x14ac:dyDescent="0.2">
      <c r="A293" s="62" t="s">
        <v>444</v>
      </c>
      <c r="B293" s="10" t="s">
        <v>204</v>
      </c>
      <c r="C293" s="11" t="s">
        <v>14</v>
      </c>
      <c r="D293" s="11">
        <v>6</v>
      </c>
      <c r="E293" s="176">
        <v>180</v>
      </c>
      <c r="F293" s="133">
        <f t="shared" si="62"/>
        <v>91800</v>
      </c>
      <c r="G293" s="119">
        <f t="shared" si="64"/>
        <v>550800</v>
      </c>
      <c r="H293" s="18"/>
      <c r="J293" s="162"/>
    </row>
    <row r="294" spans="1:10" ht="31.5" x14ac:dyDescent="0.2">
      <c r="A294" s="62" t="s">
        <v>445</v>
      </c>
      <c r="B294" s="10" t="s">
        <v>208</v>
      </c>
      <c r="C294" s="11" t="s">
        <v>14</v>
      </c>
      <c r="D294" s="11">
        <v>1</v>
      </c>
      <c r="E294" s="181">
        <v>1400</v>
      </c>
      <c r="F294" s="133">
        <f t="shared" si="62"/>
        <v>714000</v>
      </c>
      <c r="G294" s="119">
        <f t="shared" si="64"/>
        <v>714000</v>
      </c>
      <c r="H294" s="18"/>
      <c r="J294" s="162"/>
    </row>
    <row r="295" spans="1:10" x14ac:dyDescent="0.2">
      <c r="A295" s="62" t="s">
        <v>446</v>
      </c>
      <c r="B295" s="68" t="s">
        <v>211</v>
      </c>
      <c r="C295" s="11" t="s">
        <v>14</v>
      </c>
      <c r="D295" s="11">
        <v>6</v>
      </c>
      <c r="E295" s="181">
        <v>600</v>
      </c>
      <c r="F295" s="133">
        <f t="shared" si="62"/>
        <v>306000</v>
      </c>
      <c r="G295" s="119">
        <f t="shared" si="64"/>
        <v>1836000</v>
      </c>
      <c r="H295" s="18"/>
      <c r="J295" s="162"/>
    </row>
    <row r="296" spans="1:10" ht="47.25" customHeight="1" x14ac:dyDescent="0.2">
      <c r="A296" s="62" t="s">
        <v>447</v>
      </c>
      <c r="B296" s="10" t="s">
        <v>318</v>
      </c>
      <c r="C296" s="11"/>
      <c r="D296" s="11"/>
      <c r="E296" s="140"/>
      <c r="F296" s="140"/>
      <c r="G296" s="140"/>
      <c r="H296" s="191" t="s">
        <v>441</v>
      </c>
      <c r="J296" s="162"/>
    </row>
    <row r="297" spans="1:10" x14ac:dyDescent="0.2">
      <c r="A297" s="62" t="s">
        <v>448</v>
      </c>
      <c r="B297" s="10" t="s">
        <v>319</v>
      </c>
      <c r="C297" s="11"/>
      <c r="D297" s="11"/>
      <c r="E297" s="140"/>
      <c r="F297" s="140"/>
      <c r="G297" s="140"/>
      <c r="H297" s="192"/>
      <c r="J297" s="162"/>
    </row>
    <row r="298" spans="1:10" x14ac:dyDescent="0.2">
      <c r="A298" s="60"/>
      <c r="B298" s="10"/>
      <c r="C298" s="11"/>
      <c r="D298" s="11"/>
      <c r="E298" s="140"/>
      <c r="F298" s="140"/>
      <c r="G298" s="140"/>
      <c r="H298" s="18"/>
      <c r="J298" s="162"/>
    </row>
    <row r="299" spans="1:10" x14ac:dyDescent="0.2">
      <c r="A299" s="60"/>
      <c r="B299" s="10"/>
      <c r="C299" s="11"/>
      <c r="D299" s="9"/>
      <c r="E299" s="140"/>
      <c r="F299" s="140"/>
      <c r="G299" s="140"/>
      <c r="H299" s="18"/>
      <c r="J299" s="162"/>
    </row>
    <row r="300" spans="1:10" ht="30" customHeight="1" x14ac:dyDescent="0.2">
      <c r="A300" s="217" t="s">
        <v>86</v>
      </c>
      <c r="B300" s="218"/>
      <c r="C300" s="218"/>
      <c r="D300" s="219"/>
      <c r="E300" s="140"/>
      <c r="F300" s="140"/>
      <c r="G300" s="140">
        <f>SUM(G8:G299)</f>
        <v>336045630</v>
      </c>
      <c r="H300" s="18"/>
      <c r="J300" s="140">
        <f>SUM(J8:J299)</f>
        <v>157152930</v>
      </c>
    </row>
    <row r="301" spans="1:10" ht="30" customHeight="1" x14ac:dyDescent="0.2">
      <c r="A301" s="217" t="s">
        <v>7</v>
      </c>
      <c r="B301" s="218"/>
      <c r="C301" s="218"/>
      <c r="D301" s="219"/>
      <c r="E301" s="153"/>
      <c r="F301" s="156"/>
      <c r="G301" s="156">
        <f>G300*12%</f>
        <v>40325475.600000001</v>
      </c>
      <c r="H301" s="17"/>
      <c r="J301" s="156">
        <f>J300*12%</f>
        <v>18858351.599999998</v>
      </c>
    </row>
    <row r="302" spans="1:10" ht="30" customHeight="1" x14ac:dyDescent="0.2">
      <c r="A302" s="220" t="s">
        <v>6</v>
      </c>
      <c r="B302" s="221"/>
      <c r="C302" s="221"/>
      <c r="D302" s="222"/>
      <c r="E302" s="149"/>
      <c r="F302" s="157"/>
      <c r="G302" s="157">
        <f>SUM(G300:G301)</f>
        <v>376371105.60000002</v>
      </c>
      <c r="H302" s="14"/>
      <c r="J302" s="157">
        <f>SUM(J300:J301)</f>
        <v>176011281.59999999</v>
      </c>
    </row>
    <row r="304" spans="1:10" x14ac:dyDescent="0.2">
      <c r="J304" s="134"/>
    </row>
  </sheetData>
  <mergeCells count="50">
    <mergeCell ref="J29:J43"/>
    <mergeCell ref="H268:H269"/>
    <mergeCell ref="H232:H235"/>
    <mergeCell ref="H240:H243"/>
    <mergeCell ref="H260:H261"/>
    <mergeCell ref="H46:H50"/>
    <mergeCell ref="E138:E140"/>
    <mergeCell ref="F138:F140"/>
    <mergeCell ref="G138:G140"/>
    <mergeCell ref="H138:H140"/>
    <mergeCell ref="H264:H265"/>
    <mergeCell ref="E133:E135"/>
    <mergeCell ref="F133:F135"/>
    <mergeCell ref="G133:G135"/>
    <mergeCell ref="H133:H135"/>
    <mergeCell ref="C69:C107"/>
    <mergeCell ref="D69:D107"/>
    <mergeCell ref="E69:E107"/>
    <mergeCell ref="F69:F107"/>
    <mergeCell ref="G69:G107"/>
    <mergeCell ref="H69:H107"/>
    <mergeCell ref="E117:E119"/>
    <mergeCell ref="F117:F119"/>
    <mergeCell ref="A300:D300"/>
    <mergeCell ref="A301:D301"/>
    <mergeCell ref="A302:D302"/>
    <mergeCell ref="C117:C119"/>
    <mergeCell ref="D117:D119"/>
    <mergeCell ref="A1:H1"/>
    <mergeCell ref="B2:H2"/>
    <mergeCell ref="B3:H3"/>
    <mergeCell ref="B4:H4"/>
    <mergeCell ref="E29:E43"/>
    <mergeCell ref="F29:F43"/>
    <mergeCell ref="G29:G43"/>
    <mergeCell ref="H29:H43"/>
    <mergeCell ref="G117:G119"/>
    <mergeCell ref="H117:H119"/>
    <mergeCell ref="E129:E130"/>
    <mergeCell ref="F129:F130"/>
    <mergeCell ref="G129:G130"/>
    <mergeCell ref="H129:H130"/>
    <mergeCell ref="J170:J229"/>
    <mergeCell ref="H296:H297"/>
    <mergeCell ref="E170:E229"/>
    <mergeCell ref="F170:F229"/>
    <mergeCell ref="G170:G229"/>
    <mergeCell ref="H170:H229"/>
    <mergeCell ref="H272:H273"/>
    <mergeCell ref="H276:H277"/>
  </mergeCells>
  <phoneticPr fontId="1" type="noConversion"/>
  <pageMargins left="0.39370078740157483" right="0.19685039370078741" top="0.11811023622047245" bottom="0.19685039370078741" header="0.15748031496062992" footer="0.15748031496062992"/>
  <pageSetup paperSize="9" scale="75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БАРЫС</vt:lpstr>
      <vt:lpstr>БАРЫС!Область_печати</vt:lpstr>
    </vt:vector>
  </TitlesOfParts>
  <Company>ОАО СРЗ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"СЛИП"</dc:creator>
  <cp:lastModifiedBy>User</cp:lastModifiedBy>
  <cp:lastPrinted>2022-10-31T05:15:41Z</cp:lastPrinted>
  <dcterms:created xsi:type="dcterms:W3CDTF">2001-10-01T06:34:51Z</dcterms:created>
  <dcterms:modified xsi:type="dcterms:W3CDTF">2025-05-31T10:47:37Z</dcterms:modified>
</cp:coreProperties>
</file>